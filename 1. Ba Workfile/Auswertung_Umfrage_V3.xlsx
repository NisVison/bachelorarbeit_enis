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Inepe\Documents\GitHub\bachelorarbeit_enis\1. Ba Workfile\"/>
    </mc:Choice>
  </mc:AlternateContent>
  <xr:revisionPtr revIDLastSave="0" documentId="13_ncr:1_{75AD661F-8963-4862-8BC9-A1BE7AF77F39}" xr6:coauthVersionLast="47" xr6:coauthVersionMax="47" xr10:uidLastSave="{00000000-0000-0000-0000-000000000000}"/>
  <bookViews>
    <workbookView xWindow="-105" yWindow="0" windowWidth="14610" windowHeight="15585" activeTab="1" xr2:uid="{D6CDEE6E-39F7-4E1B-B71C-2132D08414E1}"/>
  </bookViews>
  <sheets>
    <sheet name="Tabelle2" sheetId="4" r:id="rId1"/>
    <sheet name="Auswertung_Umfrage_V2" sheetId="1" r:id="rId2"/>
    <sheet name="Tabelle3" sheetId="9"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1" l="1"/>
  <c r="H30" i="1"/>
  <c r="AL28" i="1"/>
  <c r="AM28" i="1"/>
  <c r="AN28" i="1"/>
  <c r="AO28" i="1"/>
  <c r="AP28" i="1"/>
  <c r="AL29" i="1"/>
  <c r="AM29" i="1"/>
  <c r="AN29" i="1"/>
  <c r="AO29" i="1"/>
  <c r="AP29" i="1"/>
  <c r="AL30" i="1"/>
  <c r="AM30" i="1"/>
  <c r="AN30" i="1"/>
  <c r="AO30" i="1"/>
  <c r="AP30" i="1"/>
  <c r="AL31" i="1"/>
  <c r="AM31" i="1"/>
  <c r="AN31" i="1"/>
  <c r="AO31" i="1"/>
  <c r="AP31" i="1"/>
  <c r="AL32" i="1"/>
  <c r="AM32" i="1"/>
  <c r="AN32" i="1"/>
  <c r="AO32" i="1"/>
  <c r="AP32" i="1"/>
  <c r="AL33" i="1"/>
  <c r="AM33" i="1"/>
  <c r="AN33" i="1"/>
  <c r="AO33" i="1"/>
  <c r="AP33" i="1"/>
  <c r="AL34" i="1"/>
  <c r="AM34" i="1"/>
  <c r="AN34" i="1"/>
  <c r="AO34" i="1"/>
  <c r="AP34" i="1"/>
  <c r="AG28" i="1"/>
  <c r="AH28" i="1"/>
  <c r="AI28" i="1"/>
  <c r="AJ28" i="1"/>
  <c r="AK28" i="1"/>
  <c r="AG29" i="1"/>
  <c r="AH29" i="1"/>
  <c r="AI29" i="1"/>
  <c r="AJ29" i="1"/>
  <c r="AK29" i="1"/>
  <c r="AG30" i="1"/>
  <c r="AH30" i="1"/>
  <c r="AI30" i="1"/>
  <c r="AJ30" i="1"/>
  <c r="AK30" i="1"/>
  <c r="AG31" i="1"/>
  <c r="AH31" i="1"/>
  <c r="AI31" i="1"/>
  <c r="AJ31" i="1"/>
  <c r="AK31" i="1"/>
  <c r="AG32" i="1"/>
  <c r="AH32" i="1"/>
  <c r="AI32" i="1"/>
  <c r="AJ32" i="1"/>
  <c r="AK32" i="1"/>
  <c r="AG33" i="1"/>
  <c r="AH33" i="1"/>
  <c r="AI33" i="1"/>
  <c r="AJ33" i="1"/>
  <c r="AK33" i="1"/>
  <c r="AG34" i="1"/>
  <c r="AH34" i="1"/>
  <c r="AI34" i="1"/>
  <c r="AJ34" i="1"/>
  <c r="AK34" i="1"/>
  <c r="AD28" i="1"/>
  <c r="AE28" i="1"/>
  <c r="AF28" i="1"/>
  <c r="AD29" i="1"/>
  <c r="AE29" i="1"/>
  <c r="AF29" i="1"/>
  <c r="AD30" i="1"/>
  <c r="AE30" i="1"/>
  <c r="AF30" i="1"/>
  <c r="AD31" i="1"/>
  <c r="AE31" i="1"/>
  <c r="AF31" i="1"/>
  <c r="AD32" i="1"/>
  <c r="AE32" i="1"/>
  <c r="AF32" i="1"/>
  <c r="AD33" i="1"/>
  <c r="AE33" i="1"/>
  <c r="AF33" i="1"/>
  <c r="AD34" i="1"/>
  <c r="AE34" i="1"/>
  <c r="AF34" i="1"/>
  <c r="AC28" i="1"/>
  <c r="AC29" i="1"/>
  <c r="AC30" i="1"/>
  <c r="AC31" i="1"/>
  <c r="AC32" i="1"/>
  <c r="AC33" i="1"/>
  <c r="AC34" i="1"/>
  <c r="I28" i="1"/>
  <c r="J28" i="1"/>
  <c r="K28" i="1"/>
  <c r="L28" i="1"/>
  <c r="M28" i="1"/>
  <c r="N28" i="1"/>
  <c r="O28" i="1"/>
  <c r="P28" i="1"/>
  <c r="Q28" i="1"/>
  <c r="R28" i="1"/>
  <c r="S28" i="1"/>
  <c r="T28" i="1"/>
  <c r="U28" i="1"/>
  <c r="V28" i="1"/>
  <c r="W28" i="1"/>
  <c r="X28" i="1"/>
  <c r="Y28" i="1"/>
  <c r="Z28" i="1"/>
  <c r="AA28" i="1"/>
  <c r="AB28" i="1"/>
  <c r="I29" i="1"/>
  <c r="J29" i="1"/>
  <c r="K29" i="1"/>
  <c r="L29" i="1"/>
  <c r="M29" i="1"/>
  <c r="N29" i="1"/>
  <c r="O29" i="1"/>
  <c r="P29" i="1"/>
  <c r="Q29" i="1"/>
  <c r="R29" i="1"/>
  <c r="S29" i="1"/>
  <c r="T29" i="1"/>
  <c r="U29" i="1"/>
  <c r="V29" i="1"/>
  <c r="W29" i="1"/>
  <c r="X29" i="1"/>
  <c r="Y29" i="1"/>
  <c r="Z29" i="1"/>
  <c r="AA29" i="1"/>
  <c r="AB29" i="1"/>
  <c r="I30" i="1"/>
  <c r="J30" i="1"/>
  <c r="K30" i="1"/>
  <c r="L30" i="1"/>
  <c r="M30" i="1"/>
  <c r="N30" i="1"/>
  <c r="O30" i="1"/>
  <c r="P30" i="1"/>
  <c r="Q30" i="1"/>
  <c r="R30" i="1"/>
  <c r="S30" i="1"/>
  <c r="T30" i="1"/>
  <c r="U30" i="1"/>
  <c r="V30" i="1"/>
  <c r="W30" i="1"/>
  <c r="X30" i="1"/>
  <c r="Y30" i="1"/>
  <c r="Z30" i="1"/>
  <c r="AA30" i="1"/>
  <c r="AB30" i="1"/>
  <c r="I31" i="1"/>
  <c r="J31" i="1"/>
  <c r="K31" i="1"/>
  <c r="L31" i="1"/>
  <c r="M31" i="1"/>
  <c r="N31" i="1"/>
  <c r="O31" i="1"/>
  <c r="P31" i="1"/>
  <c r="Q31" i="1"/>
  <c r="R31" i="1"/>
  <c r="S31" i="1"/>
  <c r="T31" i="1"/>
  <c r="U31" i="1"/>
  <c r="V31" i="1"/>
  <c r="W31" i="1"/>
  <c r="X31" i="1"/>
  <c r="Y31" i="1"/>
  <c r="Z31" i="1"/>
  <c r="AA31" i="1"/>
  <c r="AB31" i="1"/>
  <c r="I32" i="1"/>
  <c r="J32" i="1"/>
  <c r="K32" i="1"/>
  <c r="L32" i="1"/>
  <c r="M32" i="1"/>
  <c r="N32" i="1"/>
  <c r="O32" i="1"/>
  <c r="P32" i="1"/>
  <c r="Q32" i="1"/>
  <c r="R32" i="1"/>
  <c r="S32" i="1"/>
  <c r="T32" i="1"/>
  <c r="U32" i="1"/>
  <c r="V32" i="1"/>
  <c r="W32" i="1"/>
  <c r="X32" i="1"/>
  <c r="Y32" i="1"/>
  <c r="Z32" i="1"/>
  <c r="AA32" i="1"/>
  <c r="AB32" i="1"/>
  <c r="H29" i="1"/>
  <c r="H31" i="1"/>
  <c r="H32"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B24" i="1"/>
</calcChain>
</file>

<file path=xl/sharedStrings.xml><?xml version="1.0" encoding="utf-8"?>
<sst xmlns="http://schemas.openxmlformats.org/spreadsheetml/2006/main" count="966" uniqueCount="73">
  <si>
    <t>Antwort ID</t>
  </si>
  <si>
    <t>Wie alt sind Sie?</t>
  </si>
  <si>
    <t xml:space="preserve">Wie häufig nutzen Sie 3D-Inhalte oder 3D-Anwendungen? (z. B. 3D-Videospiele, 3D-Animationen in Filmen/Serien)  </t>
  </si>
  <si>
    <t xml:space="preserve">Wie groß ist Ihre Bildschirmgröße, auf der Sie die Studie durchführen?  </t>
  </si>
  <si>
    <t xml:space="preserve">Wie hoch ist ihre Downloadgeschwindigkeit, mit der sie die Szenarien ansehen? </t>
  </si>
  <si>
    <t xml:space="preserve">Hat der Computer/Laptop, mit dem sie die Studie durchführen, eine zusätzliche Grafikkarte (dedizierte Grafikkarte)?  </t>
  </si>
  <si>
    <t xml:space="preserve">Bitte schauen Sie sich jetzt das erste Szenario an, und beantworte danach die folgenden Fragen Sie können jederzeit sich das Szenario nochmal ansehen, um die Fragen besser zu beantworten.   </t>
  </si>
  <si>
    <t>Die Entfernung zwischen dem Menschen im grauen Bereich und der Säule im blauen Bereich würde ich wie folgt einschätzen.  []</t>
  </si>
  <si>
    <t>Wie weit entfernt ist die Säule im grünen Bereich von Ihrer aktuellen Position (aus Ihrer Sicht/POV)?  []</t>
  </si>
  <si>
    <t>Wie weit erscheint ihnen der Abstand der Kiste im grauen Bereich?  []</t>
  </si>
  <si>
    <t>Direkt nach dem Neustart (Reset) des Szenarios: Welches Objekt ist näher an Ihrer Startposition?</t>
  </si>
  <si>
    <t xml:space="preserve">Direkt nach dem Neustart (Reset) des Szenarios: Welches Objekt ist näher an Ihrer Startposition? </t>
  </si>
  <si>
    <t xml:space="preserve">Bitte schauen Sie sich jetzt das Zweite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</si>
  <si>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Dritte Szenario an, und beantworte danach die folgenden Fragen Sie können jederzeit sich das Szenario nochmal ansehen, um die Fragen besser zu beantworten. Bitte bewerten Sie dieses Szenario unabhängig von den vorherigen. Jede Szene kann eine andere Tiefenwirkung haben. </t>
  </si>
  <si>
    <t xml:space="preserve">Bitte schauen Sie sich jetzt das erste Szenario an, und beantworte danach die folgenden Fragen Sie können jederzeit sich das Szenario nochmal ansehen, um die Fragen besser zu beantworten. Bitte bewerten Sie dieses Szenario unabhängig von den vorherigen. Jede Szene kann eine andere Tiefenwirkung haben. </t>
  </si>
  <si>
    <t>Eine eindeutige und deutliche Tiefenwahrnehmung zwischen den Bereichen Grau, Grün und Blau ist klar erkennbar? []</t>
  </si>
  <si>
    <t>Beim Bewegen fallen Verzerrungen oder Verformungen der Umgebung stark auf. []</t>
  </si>
  <si>
    <t>Die räumliche Tiefenwahrnehmung wirkt realistisch. []</t>
  </si>
  <si>
    <t>Nach dem Laden läuft die Szene flüssig und ich habe kein Ruckeln oder ein eingefrorenes Bild. (Latenzen)  []</t>
  </si>
  <si>
    <t>Eine eindeutige und deutliche Tiefenwahrnehmung zwischen den Bereichen Grau, Grün und Blau ist klar erkennbar?  []</t>
  </si>
  <si>
    <t>Beim Bewegen fallen Verzerrungen oder Verformungen der Umgebung stark auf.  []</t>
  </si>
  <si>
    <t>Die räumliche Tiefenwahrnehmung wirkt realistisch.  []</t>
  </si>
  <si>
    <t>A006</t>
  </si>
  <si>
    <t>A002</t>
  </si>
  <si>
    <t>A001</t>
  </si>
  <si>
    <t>A005</t>
  </si>
  <si>
    <t>A004</t>
  </si>
  <si>
    <t>A003</t>
  </si>
  <si>
    <t>A007</t>
  </si>
  <si>
    <t>Allgemeine Fragen</t>
  </si>
  <si>
    <t>Szenario 1_P1</t>
  </si>
  <si>
    <t>Szenario 2_P1</t>
  </si>
  <si>
    <t>Szenario 3_P1</t>
  </si>
  <si>
    <t>Szenario 1_P2</t>
  </si>
  <si>
    <t>Szenario 2_P2</t>
  </si>
  <si>
    <t>Szenario 3_P2</t>
  </si>
  <si>
    <t>Mittelwert M</t>
  </si>
  <si>
    <t>Wert übersetzt</t>
  </si>
  <si>
    <t xml:space="preserve">5 = 0-5m </t>
  </si>
  <si>
    <t>4 = 5-10m</t>
  </si>
  <si>
    <t>5 = 0-5m</t>
  </si>
  <si>
    <t>1 = Kiste Bett</t>
  </si>
  <si>
    <t>4 = Gleich</t>
  </si>
  <si>
    <t>2 = Säule GA</t>
  </si>
  <si>
    <t>3 = 10-15m</t>
  </si>
  <si>
    <t>5 = Schild Gelb</t>
  </si>
  <si>
    <t>4 = Ente Gelb</t>
  </si>
  <si>
    <t>4 = Kiste Grau</t>
  </si>
  <si>
    <t>1 = 20-25m</t>
  </si>
  <si>
    <t>4= 5-10m</t>
  </si>
  <si>
    <t>4 =Kiste Bett</t>
  </si>
  <si>
    <t>4 = Haustür</t>
  </si>
  <si>
    <t>5 = Säule GA</t>
  </si>
  <si>
    <t>Ground-Truth</t>
  </si>
  <si>
    <t>Wert für menschen</t>
  </si>
  <si>
    <t>3 = 10-15</t>
  </si>
  <si>
    <t>1 = Haustür</t>
  </si>
  <si>
    <t>18,45 m</t>
  </si>
  <si>
    <t>13,3934 m</t>
  </si>
  <si>
    <t>4,5821m</t>
  </si>
  <si>
    <t>Schild Gelb</t>
  </si>
  <si>
    <t>gelbe Ente</t>
  </si>
  <si>
    <t>Gleich nah</t>
  </si>
  <si>
    <t>Kiste Bett</t>
  </si>
  <si>
    <t>Haustür</t>
  </si>
  <si>
    <t>Zeilenbeschriftungen</t>
  </si>
  <si>
    <t>Gesamtergebnis</t>
  </si>
  <si>
    <t>Anzahl von Die Entfernung zwischen dem Menschen im grauen Bereich und der Säule im blauen Bereich würde ich wie folgt einschätzen.  []</t>
  </si>
  <si>
    <t>Direkt nach dem Neustart (Reset) des Szenarios: Welches Objekt ist näher an Ihrer Startposition?2</t>
  </si>
  <si>
    <t>Anzahl von Wie weit entfernt ist die Säule im grünen Bereich von Ihrer aktuellen Position (aus Ihrer Sicht/POV)?  []</t>
  </si>
  <si>
    <t>Anzahl von Wie weit erscheint ihnen der Abstand der Kiste im grauen Bereich?  []</t>
  </si>
  <si>
    <t>Anzahl von Direkt nach dem Neustart (Reset) des Szenarios: Welches Objekt ist näher an Ihrer Startposition?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</si>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</sst>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8080"/>
        <bgColor indexed="64"/>
      </patternFill>
    </fill>
    <fill>
      <patternFill patternType="solid">
        <fgColor rgb="FF6699FF"/>
        <bgColor indexed="64"/>
      </patternFill>
    </fill>
    <fill>
      <patternFill patternType="solid">
        <fgColor theme="1"/>
        <bgColor indexed="64"/>
      </patternFill>
    </fill>
    <fill>
      <patternFill patternType="solid">
        <fgColor rgb="FF99FF99"/>
        <bgColor indexed="64"/>
      </patternFill>
    </fill>
    <fill>
      <patternFill patternType="solid">
        <fgColor rgb="FFFFC000"/>
        <bgColor indexed="64"/>
      </patternFill>
    </fill>
    <fill>
      <patternFill patternType="solid">
        <fgColor rgb="FFFFCCFF"/>
        <bgColor indexed="64"/>
      </patternFill>
    </fill>
    <fill>
      <patternFill patternType="solid">
        <fgColor theme="9" tint="0.79998168889431442"/>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34" borderId="10" xfId="0" applyFill="1" applyBorder="1"/>
    <xf numFmtId="0" fontId="0" fillId="34" borderId="11" xfId="0" applyFill="1" applyBorder="1"/>
    <xf numFmtId="0" fontId="0" fillId="35" borderId="11" xfId="0" applyFill="1" applyBorder="1"/>
    <xf numFmtId="0" fontId="0" fillId="34" borderId="12" xfId="0" applyFill="1" applyBorder="1"/>
    <xf numFmtId="0" fontId="0" fillId="36" borderId="13" xfId="0" applyFill="1" applyBorder="1"/>
    <xf numFmtId="0" fontId="0" fillId="36" borderId="14" xfId="0" applyFill="1" applyBorder="1"/>
    <xf numFmtId="0" fontId="0" fillId="35" borderId="14" xfId="0" applyFill="1" applyBorder="1"/>
    <xf numFmtId="0" fontId="0" fillId="36" borderId="15" xfId="0" applyFill="1" applyBorder="1"/>
    <xf numFmtId="0" fontId="0" fillId="37" borderId="10" xfId="0" applyFill="1" applyBorder="1"/>
    <xf numFmtId="0" fontId="0" fillId="37" borderId="11" xfId="0" applyFill="1" applyBorder="1"/>
    <xf numFmtId="0" fontId="0" fillId="37" borderId="12" xfId="0" applyFill="1" applyBorder="1"/>
    <xf numFmtId="0" fontId="0" fillId="38" borderId="16" xfId="0" applyFill="1" applyBorder="1"/>
    <xf numFmtId="0" fontId="0" fillId="38" borderId="17" xfId="0" applyFill="1" applyBorder="1"/>
    <xf numFmtId="0" fontId="0" fillId="35" borderId="17" xfId="0" applyFill="1" applyBorder="1"/>
    <xf numFmtId="0" fontId="0" fillId="38" borderId="18" xfId="0" applyFill="1" applyBorder="1"/>
    <xf numFmtId="0" fontId="0" fillId="35" borderId="0" xfId="0" applyFill="1"/>
    <xf numFmtId="0" fontId="0" fillId="33" borderId="19" xfId="0" applyFill="1" applyBorder="1"/>
    <xf numFmtId="0" fontId="0" fillId="33" borderId="20" xfId="0" applyFill="1" applyBorder="1"/>
    <xf numFmtId="0" fontId="0" fillId="33" borderId="21" xfId="0" applyFill="1" applyBorder="1"/>
    <xf numFmtId="0" fontId="0" fillId="0" borderId="22" xfId="0" applyBorder="1"/>
    <xf numFmtId="0" fontId="0" fillId="35" borderId="23" xfId="0" applyFill="1" applyBorder="1"/>
    <xf numFmtId="0" fontId="0" fillId="39" borderId="0" xfId="0" applyFill="1"/>
    <xf numFmtId="0" fontId="0" fillId="34" borderId="25" xfId="0" applyFill="1" applyBorder="1"/>
    <xf numFmtId="0" fontId="0" fillId="39" borderId="24" xfId="0" applyFill="1" applyBorder="1"/>
    <xf numFmtId="0" fontId="0" fillId="0" borderId="24" xfId="0" applyBorder="1"/>
    <xf numFmtId="0" fontId="0" fillId="0" borderId="26" xfId="0" applyBorder="1"/>
    <xf numFmtId="0" fontId="0" fillId="39" borderId="14" xfId="0" applyFill="1" applyBorder="1"/>
    <xf numFmtId="0" fontId="0" fillId="0" borderId="14" xfId="0" applyBorder="1"/>
    <xf numFmtId="0" fontId="0" fillId="0" borderId="0" xfId="0" pivotButton="1"/>
    <xf numFmtId="0" fontId="0" fillId="0" borderId="0" xfId="0" applyAlignment="1">
      <alignment horizontal="left"/>
    </xf>
    <xf numFmtId="10" fontId="0" fillId="0" borderId="0" xfId="0" applyNumberFormat="1"/>
    <xf numFmtId="9" fontId="0" fillId="0" borderId="0" xfId="1" applyFont="1"/>
  </cellXfs>
  <cellStyles count="43">
    <cellStyle name="20 % - Akzent1" xfId="20" builtinId="30" customBuiltin="1"/>
    <cellStyle name="20 % - Akzent2" xfId="24" builtinId="34" customBuiltin="1"/>
    <cellStyle name="20 % - Akzent3" xfId="28" builtinId="38" customBuiltin="1"/>
    <cellStyle name="20 % - Akzent4" xfId="32" builtinId="42" customBuiltin="1"/>
    <cellStyle name="20 % - Akzent5" xfId="36" builtinId="46" customBuiltin="1"/>
    <cellStyle name="20 % - Akzent6" xfId="40" builtinId="50" customBuiltin="1"/>
    <cellStyle name="40 % - Akzent1" xfId="21" builtinId="31" customBuiltin="1"/>
    <cellStyle name="40 % - Akzent2" xfId="25" builtinId="35" customBuiltin="1"/>
    <cellStyle name="40 % - Akzent3" xfId="29" builtinId="39" customBuiltin="1"/>
    <cellStyle name="40 % - Akzent4" xfId="33" builtinId="43" customBuiltin="1"/>
    <cellStyle name="40 % - Akzent5" xfId="37" builtinId="47" customBuiltin="1"/>
    <cellStyle name="40 % - Akzent6" xfId="41" builtinId="51" customBuiltin="1"/>
    <cellStyle name="60 % - Akzent1" xfId="22" builtinId="32" customBuiltin="1"/>
    <cellStyle name="60 % - Akzent2" xfId="26" builtinId="36" customBuiltin="1"/>
    <cellStyle name="60 % - Akzent3" xfId="30" builtinId="40" customBuiltin="1"/>
    <cellStyle name="60 % - Akzent4" xfId="34" builtinId="44" customBuiltin="1"/>
    <cellStyle name="60 % - Akzent5" xfId="38" builtinId="48" customBuiltin="1"/>
    <cellStyle name="60 % - Akzent6" xfId="42" builtinId="52" customBuiltin="1"/>
    <cellStyle name="Akzent1" xfId="19" builtinId="29" customBuiltin="1"/>
    <cellStyle name="Akzent2" xfId="23" builtinId="33" customBuiltin="1"/>
    <cellStyle name="Akzent3" xfId="27" builtinId="37" customBuiltin="1"/>
    <cellStyle name="Akzent4" xfId="31" builtinId="41" customBuiltin="1"/>
    <cellStyle name="Akzent5" xfId="35" builtinId="45" customBuiltin="1"/>
    <cellStyle name="Akzent6" xfId="39" builtinId="49" customBuiltin="1"/>
    <cellStyle name="Ausgabe" xfId="11" builtinId="21" customBuiltin="1"/>
    <cellStyle name="Berechnung" xfId="12" builtinId="22" customBuiltin="1"/>
    <cellStyle name="Eingabe" xfId="10" builtinId="20" customBuiltin="1"/>
    <cellStyle name="Ergebnis" xfId="18" builtinId="25" customBuiltin="1"/>
    <cellStyle name="Erklärender Text" xfId="17" builtinId="53" customBuiltin="1"/>
    <cellStyle name="Gut" xfId="7" builtinId="26" customBuiltin="1"/>
    <cellStyle name="Neutral" xfId="9" builtinId="28" customBuiltin="1"/>
    <cellStyle name="Notiz" xfId="16" builtinId="10" customBuiltin="1"/>
    <cellStyle name="Prozent" xfId="1" builtinId="5"/>
    <cellStyle name="Schlecht" xfId="8" builtinId="27" customBuiltin="1"/>
    <cellStyle name="Standard" xfId="0" builtinId="0"/>
    <cellStyle name="Überschrift" xfId="2" builtinId="15" customBuiltin="1"/>
    <cellStyle name="Überschrift 1" xfId="3" builtinId="16" customBuiltin="1"/>
    <cellStyle name="Überschrift 2" xfId="4" builtinId="17" customBuiltin="1"/>
    <cellStyle name="Überschrift 3" xfId="5" builtinId="18" customBuiltin="1"/>
    <cellStyle name="Überschrift 4" xfId="6" builtinId="19" customBuiltin="1"/>
    <cellStyle name="Verknüpfte Zelle" xfId="13" builtinId="24" customBuiltin="1"/>
    <cellStyle name="Warnender Text" xfId="15" builtinId="11" customBuiltin="1"/>
    <cellStyle name="Zelle überprüfen" xfId="14" builtinId="23" customBuiltin="1"/>
  </cellStyles>
  <dxfs count="18">
    <dxf>
      <numFmt numFmtId="14" formatCode="0.00%"/>
    </dxf>
    <dxf>
      <numFmt numFmtId="13" formatCode="0%"/>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numFmt numFmtId="14" formatCode="0.00%"/>
    </dxf>
    <dxf>
      <numFmt numFmtId="13" formatCode="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s Inep" refreshedDate="46011.843983333332" createdVersion="8" refreshedVersion="8" minRefreshableVersion="3" recordCount="21" xr:uid="{81525D92-C602-4638-8904-B376D5E090B0}">
  <cacheSource type="worksheet">
    <worksheetSource name="Tabelle3"/>
  </cacheSource>
  <cacheFields count="6">
    <cacheField name="Die Entfernung zwischen dem Menschen im grauen Bereich und der Säule im blauen Bereich würde ich wie folgt einschätzen.  []" numFmtId="0">
      <sharedItems count="5">
        <s v="A005"/>
        <s v="A002"/>
        <s v="A003"/>
        <s v="A001"/>
        <s v="A004"/>
      </sharedItems>
    </cacheField>
    <cacheField name="Wie weit entfernt ist die Säule im grünen Bereich von Ihrer aktuellen Position (aus Ihrer Sicht/POV)?  []" numFmtId="0">
      <sharedItems count="4">
        <s v="A004"/>
        <s v="A001"/>
        <s v="A003"/>
        <s v="A005"/>
      </sharedItems>
    </cacheField>
    <cacheField name="Wie weit erscheint ihnen der Abstand der Kiste im grauen Bereich?  []" numFmtId="0">
      <sharedItems count="2">
        <s v="A005"/>
        <s v="A003"/>
      </sharedItems>
    </cacheField>
    <cacheField name="Direkt nach dem Neustart (Reset) des Szenarios: Welches Objekt ist näher an Ihrer Startposition?" numFmtId="0">
      <sharedItems count="2">
        <s v="A001"/>
        <s v="A004"/>
      </sharedItems>
    </cacheField>
    <cacheField name="Direkt nach dem Neustart (Reset) des Szenarios: Welches Objekt ist näher an Ihrer Startposition? " numFmtId="0">
      <sharedItems count="3">
        <s v="A004"/>
        <s v="A001"/>
        <s v="A002"/>
      </sharedItems>
    </cacheField>
    <cacheField name="Direkt nach dem Neustart (Reset) des Szenarios: Welches Objekt ist näher an Ihrer Startposition?2" numFmtId="0">
      <sharedItems count="2">
        <s v="A002"/>
        <s v="A00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x v="0"/>
    <x v="0"/>
    <x v="0"/>
  </r>
  <r>
    <x v="1"/>
    <x v="0"/>
    <x v="0"/>
    <x v="0"/>
    <x v="0"/>
    <x v="0"/>
  </r>
  <r>
    <x v="2"/>
    <x v="0"/>
    <x v="0"/>
    <x v="0"/>
    <x v="1"/>
    <x v="0"/>
  </r>
  <r>
    <x v="3"/>
    <x v="1"/>
    <x v="0"/>
    <x v="0"/>
    <x v="1"/>
    <x v="0"/>
  </r>
  <r>
    <x v="2"/>
    <x v="0"/>
    <x v="0"/>
    <x v="0"/>
    <x v="1"/>
    <x v="1"/>
  </r>
  <r>
    <x v="3"/>
    <x v="2"/>
    <x v="0"/>
    <x v="0"/>
    <x v="0"/>
    <x v="0"/>
  </r>
  <r>
    <x v="4"/>
    <x v="3"/>
    <x v="0"/>
    <x v="0"/>
    <x v="2"/>
    <x v="0"/>
  </r>
  <r>
    <x v="4"/>
    <x v="3"/>
    <x v="0"/>
    <x v="0"/>
    <x v="1"/>
    <x v="0"/>
  </r>
  <r>
    <x v="2"/>
    <x v="2"/>
    <x v="0"/>
    <x v="0"/>
    <x v="0"/>
    <x v="0"/>
  </r>
  <r>
    <x v="2"/>
    <x v="0"/>
    <x v="0"/>
    <x v="0"/>
    <x v="1"/>
    <x v="0"/>
  </r>
  <r>
    <x v="4"/>
    <x v="2"/>
    <x v="0"/>
    <x v="0"/>
    <x v="1"/>
    <x v="1"/>
  </r>
  <r>
    <x v="4"/>
    <x v="3"/>
    <x v="0"/>
    <x v="0"/>
    <x v="1"/>
    <x v="0"/>
  </r>
  <r>
    <x v="2"/>
    <x v="3"/>
    <x v="0"/>
    <x v="0"/>
    <x v="1"/>
    <x v="0"/>
  </r>
  <r>
    <x v="2"/>
    <x v="0"/>
    <x v="0"/>
    <x v="0"/>
    <x v="1"/>
    <x v="0"/>
  </r>
  <r>
    <x v="1"/>
    <x v="2"/>
    <x v="0"/>
    <x v="0"/>
    <x v="1"/>
    <x v="0"/>
  </r>
  <r>
    <x v="1"/>
    <x v="2"/>
    <x v="0"/>
    <x v="0"/>
    <x v="1"/>
    <x v="0"/>
  </r>
  <r>
    <x v="4"/>
    <x v="3"/>
    <x v="1"/>
    <x v="0"/>
    <x v="0"/>
    <x v="0"/>
  </r>
  <r>
    <x v="2"/>
    <x v="0"/>
    <x v="0"/>
    <x v="0"/>
    <x v="1"/>
    <x v="0"/>
  </r>
  <r>
    <x v="1"/>
    <x v="0"/>
    <x v="0"/>
    <x v="0"/>
    <x v="1"/>
    <x v="0"/>
  </r>
  <r>
    <x v="2"/>
    <x v="0"/>
    <x v="0"/>
    <x v="0"/>
    <x v="1"/>
    <x v="0"/>
  </r>
  <r>
    <x v="1"/>
    <x v="3"/>
    <x v="0"/>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5201F2-30E0-4F55-9ABD-384260906925}" name="PivotTable5"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9" firstHeaderRow="1" firstDataRow="1" firstDataCol="1"/>
  <pivotFields count="6">
    <pivotField axis="axisRow" dataField="1"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0"/>
  </rowFields>
  <rowItems count="6">
    <i>
      <x/>
    </i>
    <i>
      <x v="1"/>
    </i>
    <i>
      <x v="2"/>
    </i>
    <i>
      <x v="3"/>
    </i>
    <i>
      <x v="4"/>
    </i>
    <i t="grand">
      <x/>
    </i>
  </rowItems>
  <colItems count="1">
    <i/>
  </colItems>
  <dataFields count="1">
    <dataField name="Anzahl von Die Entfernung zwischen dem Menschen im grauen Bereich und der Säule im blauen Bereich würde ich wie folgt einschätzen.  []" fld="0" subtotal="count" showDataAs="percentOfTotal" baseField="0" baseItem="0" numFmtId="10"/>
  </dataFields>
  <formats count="2">
    <format dxfId="10">
      <pivotArea outline="0" collapsedLevelsAreSubtotals="1" fieldPosition="0"/>
    </format>
    <format dxfId="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6F0BCE-2FE9-487A-B611-80AB19505BFF}" name="PivotTable12"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9:B34"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showDataAs="percentOfTotal" baseField="1" baseItem="0" numFmtId="10"/>
  </dataFields>
  <formats count="2">
    <format dxfId="1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D676D5-6D07-4823-B730-D7BD9E8BBF55}" name="PivotTable1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24:B27"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showAll="0">
      <items count="3">
        <item x="1"/>
        <item x="0"/>
        <item t="default"/>
      </items>
    </pivotField>
    <pivotField axis="axisRow" dataField="1" showAll="0">
      <items count="3">
        <item x="0"/>
        <item x="1"/>
        <item t="default"/>
      </items>
    </pivotField>
    <pivotField showAll="0">
      <items count="4">
        <item x="1"/>
        <item x="2"/>
        <item x="0"/>
        <item t="default"/>
      </items>
    </pivotField>
    <pivotField showAll="0">
      <items count="3">
        <item x="0"/>
        <item x="1"/>
        <item t="default"/>
      </items>
    </pivotField>
  </pivotFields>
  <rowFields count="1">
    <field x="3"/>
  </rowFields>
  <rowItems count="3">
    <i>
      <x/>
    </i>
    <i>
      <x v="1"/>
    </i>
    <i t="grand">
      <x/>
    </i>
  </rowItems>
  <colItems count="1">
    <i/>
  </colItems>
  <dataFields count="1">
    <dataField name="Anzahl von Direkt nach dem Neustart (Reset) des Szenarios: Welches Objekt ist näher an Ihrer Startposition?" fld="3" subtotal="count" showDataAs="percentOfTotal" baseField="3" baseItem="0" numFmtId="10"/>
  </dataFields>
  <formats count="2">
    <format dxfId="13">
      <pivotArea outline="0" collapsedLevelsAreSubtotals="1" fieldPosition="0"/>
    </format>
    <format dxfId="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B827A9-48E4-4E1B-9922-5385AD33F812}" name="PivotTable10"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9:B22" firstHeaderRow="1" firstDataRow="1" firstDataCol="1"/>
  <pivotFields count="6">
    <pivotField showAll="0">
      <items count="6">
        <item sd="0" x="3"/>
        <item sd="0" x="1"/>
        <item sd="0" x="2"/>
        <item sd="0" x="4"/>
        <item sd="0" x="0"/>
        <item t="default"/>
      </items>
    </pivotField>
    <pivotField showAll="0">
      <items count="5">
        <item x="1"/>
        <item x="2"/>
        <item x="0"/>
        <item x="3"/>
        <item t="default"/>
      </items>
    </pivotField>
    <pivotField axis="axisRow" dataField="1"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2"/>
  </rowFields>
  <rowItems count="3">
    <i>
      <x/>
    </i>
    <i>
      <x v="1"/>
    </i>
    <i t="grand">
      <x/>
    </i>
  </rowItems>
  <colItems count="1">
    <i/>
  </colItems>
  <dataFields count="1">
    <dataField name="Anzahl von Wie weit erscheint ihnen der Abstand der Kiste im grauen Bereich?  []" fld="2" subtotal="count" showDataAs="percentOfTotal" baseField="2" baseItem="0" numFmtId="10"/>
  </dataFields>
  <formats count="2">
    <format dxfId="15">
      <pivotArea outline="0" collapsedLevelsAreSubtotals="1" fieldPosition="0"/>
    </format>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681331-C36D-4022-9D11-528B876295DE}" name="PivotTable6"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2:B17" firstHeaderRow="1" firstDataRow="1" firstDataCol="1"/>
  <pivotFields count="6">
    <pivotField showAll="0">
      <items count="6">
        <item sd="0" x="3"/>
        <item sd="0" x="1"/>
        <item sd="0" x="2"/>
        <item sd="0" x="4"/>
        <item sd="0" x="0"/>
        <item t="default"/>
      </items>
    </pivotField>
    <pivotField axis="axisRow" dataField="1" showAll="0">
      <items count="5">
        <item x="1"/>
        <item x="2"/>
        <item x="0"/>
        <item x="3"/>
        <item t="default"/>
      </items>
    </pivotField>
    <pivotField showAll="0">
      <items count="3">
        <item x="1"/>
        <item x="0"/>
        <item t="default"/>
      </items>
    </pivotField>
    <pivotField showAll="0">
      <items count="3">
        <item x="0"/>
        <item x="1"/>
        <item t="default"/>
      </items>
    </pivotField>
    <pivotField showAll="0">
      <items count="4">
        <item x="1"/>
        <item x="2"/>
        <item x="0"/>
        <item t="default"/>
      </items>
    </pivotField>
    <pivotField showAll="0">
      <items count="3">
        <item x="0"/>
        <item x="1"/>
        <item t="default"/>
      </items>
    </pivotField>
  </pivotFields>
  <rowFields count="1">
    <field x="1"/>
  </rowFields>
  <rowItems count="5">
    <i>
      <x/>
    </i>
    <i>
      <x v="1"/>
    </i>
    <i>
      <x v="2"/>
    </i>
    <i>
      <x v="3"/>
    </i>
    <i t="grand">
      <x/>
    </i>
  </rowItems>
  <colItems count="1">
    <i/>
  </colItems>
  <dataFields count="1">
    <dataField name="Anzahl von Wie weit entfernt ist die Säule im grünen Bereich von Ihrer aktuellen Position (aus Ihrer Sicht/POV)?  []" fld="1" subtotal="count" showDataAs="percentOfTotal" baseField="1" baseItem="0" numFmtId="10"/>
  </dataFields>
  <formats count="2">
    <format dxfId="17">
      <pivotArea outline="0" collapsedLevelsAreSubtotals="1" fieldPosition="0"/>
    </format>
    <format dxfId="1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A909DA-E5AB-4EBA-A10B-D4C4DBAFE15E}" name="Tabelle3" displayName="Tabelle3" ref="H2:M23" totalsRowShown="0" tableBorderDxfId="8">
  <autoFilter ref="H2:M23" xr:uid="{A5A909DA-E5AB-4EBA-A10B-D4C4DBAFE15E}"/>
  <tableColumns count="6">
    <tableColumn id="1" xr3:uid="{229ED778-69E5-4535-A1AC-7322BC2D7473}" name="Die Entfernung zwischen dem Menschen im grauen Bereich und der Säule im blauen Bereich würde ich wie folgt einschätzen.  []" dataDxfId="7"/>
    <tableColumn id="2" xr3:uid="{22099EB0-B0E9-45D0-B7E7-A7A1E98D6E96}" name="Wie weit entfernt ist die Säule im grünen Bereich von Ihrer aktuellen Position (aus Ihrer Sicht/POV)?  []" dataDxfId="6"/>
    <tableColumn id="3" xr3:uid="{482617A5-F15C-44BD-A630-5D741FA2A0F6}" name="Wie weit erscheint ihnen der Abstand der Kiste im grauen Bereich?  []" dataDxfId="5"/>
    <tableColumn id="4" xr3:uid="{3E634CAC-A327-412E-A70E-63C817A6FD23}" name="Direkt nach dem Neustart (Reset) des Szenarios: Welches Objekt ist näher an Ihrer Startposition?" dataDxfId="4"/>
    <tableColumn id="5" xr3:uid="{FD485CC6-61BB-47C9-BEE7-F313EFF8F2D2}" name="Direkt nach dem Neustart (Reset) des Szenarios: Welches Objekt ist näher an Ihrer Startposition? " dataDxfId="3"/>
    <tableColumn id="6" xr3:uid="{11A1110F-0C25-46C3-ADE6-A783533F4E5B}" name="Direkt nach dem Neustart (Reset) des Szenarios: Welches Objekt ist näher an Ihrer Startposition?2" dataDxfId="2"/>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13E8-D629-4CE7-98CA-FCCA87D1EDD9}">
  <dimension ref="A1:F34"/>
  <sheetViews>
    <sheetView workbookViewId="0">
      <selection activeCell="C30" sqref="C30:C33"/>
    </sheetView>
  </sheetViews>
  <sheetFormatPr baseColWidth="10" defaultRowHeight="15" x14ac:dyDescent="0.25"/>
  <cols>
    <col min="1" max="1" width="22.7109375" bestFit="1" customWidth="1"/>
    <col min="2" max="3" width="105" bestFit="1" customWidth="1"/>
    <col min="4" max="4" width="74.5703125" bestFit="1" customWidth="1"/>
    <col min="5" max="5" width="5.140625" bestFit="1" customWidth="1"/>
    <col min="6" max="7" width="15.85546875" bestFit="1" customWidth="1"/>
    <col min="8" max="8" width="13.42578125" bestFit="1" customWidth="1"/>
    <col min="9" max="9" width="7" bestFit="1" customWidth="1"/>
    <col min="10" max="11" width="5.5703125" bestFit="1" customWidth="1"/>
    <col min="12" max="12" width="13.42578125" bestFit="1" customWidth="1"/>
    <col min="13" max="13" width="7" bestFit="1" customWidth="1"/>
    <col min="14" max="15" width="5.5703125" bestFit="1" customWidth="1"/>
    <col min="16" max="16" width="13.42578125" bestFit="1" customWidth="1"/>
    <col min="17" max="17" width="15.85546875" bestFit="1" customWidth="1"/>
    <col min="18" max="18" width="7" bestFit="1" customWidth="1"/>
    <col min="19" max="20" width="13.42578125" bestFit="1" customWidth="1"/>
    <col min="21" max="21" width="7" bestFit="1" customWidth="1"/>
    <col min="22" max="22" width="13.42578125" bestFit="1" customWidth="1"/>
    <col min="23" max="23" width="7" bestFit="1" customWidth="1"/>
    <col min="24" max="24" width="13.42578125" bestFit="1" customWidth="1"/>
    <col min="25" max="25" width="7" bestFit="1" customWidth="1"/>
    <col min="26" max="26" width="5.5703125" bestFit="1" customWidth="1"/>
    <col min="27" max="28" width="13.42578125" bestFit="1" customWidth="1"/>
    <col min="29" max="29" width="15.85546875" bestFit="1" customWidth="1"/>
    <col min="30" max="31" width="13.42578125" bestFit="1" customWidth="1"/>
    <col min="32" max="32" width="7" bestFit="1" customWidth="1"/>
    <col min="33" max="34" width="13.42578125" bestFit="1" customWidth="1"/>
    <col min="35" max="35" width="7" bestFit="1" customWidth="1"/>
    <col min="36" max="36" width="13.42578125" bestFit="1" customWidth="1"/>
    <col min="37" max="37" width="7" bestFit="1" customWidth="1"/>
    <col min="38" max="40" width="13.42578125" bestFit="1" customWidth="1"/>
    <col min="41" max="41" width="15.85546875" bestFit="1" customWidth="1"/>
    <col min="42" max="42" width="7" bestFit="1" customWidth="1"/>
    <col min="43" max="45" width="13.42578125" bestFit="1" customWidth="1"/>
    <col min="46" max="46" width="7" bestFit="1" customWidth="1"/>
    <col min="47" max="48" width="13.42578125" bestFit="1" customWidth="1"/>
    <col min="49" max="49" width="7" bestFit="1" customWidth="1"/>
    <col min="50" max="50" width="5.5703125" bestFit="1" customWidth="1"/>
    <col min="51" max="54" width="13.42578125" bestFit="1" customWidth="1"/>
    <col min="55" max="55" width="15.85546875" bestFit="1" customWidth="1"/>
    <col min="56" max="57" width="13.42578125" bestFit="1" customWidth="1"/>
    <col min="58" max="58" width="7" bestFit="1" customWidth="1"/>
    <col min="59" max="61" width="13.42578125" bestFit="1" customWidth="1"/>
    <col min="62" max="62" width="7" bestFit="1" customWidth="1"/>
    <col min="63" max="63" width="13.42578125" bestFit="1" customWidth="1"/>
    <col min="64" max="64" width="7" bestFit="1" customWidth="1"/>
    <col min="65" max="69" width="13.42578125" bestFit="1" customWidth="1"/>
    <col min="70" max="70" width="15.85546875" bestFit="1" customWidth="1"/>
  </cols>
  <sheetData>
    <row r="1" spans="1:6" x14ac:dyDescent="0.25">
      <c r="F1" t="s">
        <v>72</v>
      </c>
    </row>
    <row r="3" spans="1:6" x14ac:dyDescent="0.25">
      <c r="A3" s="29" t="s">
        <v>65</v>
      </c>
      <c r="B3" t="s">
        <v>67</v>
      </c>
    </row>
    <row r="4" spans="1:6" x14ac:dyDescent="0.25">
      <c r="A4" s="30" t="s">
        <v>24</v>
      </c>
      <c r="B4" s="31">
        <v>9.5238095238095233E-2</v>
      </c>
    </row>
    <row r="5" spans="1:6" x14ac:dyDescent="0.25">
      <c r="A5" s="30" t="s">
        <v>23</v>
      </c>
      <c r="B5" s="31">
        <v>0.23809523809523808</v>
      </c>
    </row>
    <row r="6" spans="1:6" x14ac:dyDescent="0.25">
      <c r="A6" s="30" t="s">
        <v>27</v>
      </c>
      <c r="B6" s="31">
        <v>0.38095238095238093</v>
      </c>
    </row>
    <row r="7" spans="1:6" x14ac:dyDescent="0.25">
      <c r="A7" s="30" t="s">
        <v>26</v>
      </c>
      <c r="B7" s="31">
        <v>0.23809523809523808</v>
      </c>
    </row>
    <row r="8" spans="1:6" x14ac:dyDescent="0.25">
      <c r="A8" s="30" t="s">
        <v>25</v>
      </c>
      <c r="B8" s="31">
        <v>4.7619047619047616E-2</v>
      </c>
    </row>
    <row r="9" spans="1:6" x14ac:dyDescent="0.25">
      <c r="A9" s="30" t="s">
        <v>66</v>
      </c>
      <c r="B9" s="31">
        <v>1</v>
      </c>
    </row>
    <row r="12" spans="1:6" x14ac:dyDescent="0.25">
      <c r="A12" s="29" t="s">
        <v>65</v>
      </c>
      <c r="B12" t="s">
        <v>69</v>
      </c>
    </row>
    <row r="13" spans="1:6" x14ac:dyDescent="0.25">
      <c r="A13" s="30" t="s">
        <v>24</v>
      </c>
      <c r="B13" s="31">
        <v>4.7619047619047616E-2</v>
      </c>
    </row>
    <row r="14" spans="1:6" x14ac:dyDescent="0.25">
      <c r="A14" s="30" t="s">
        <v>27</v>
      </c>
      <c r="B14" s="31">
        <v>0.23809523809523808</v>
      </c>
    </row>
    <row r="15" spans="1:6" x14ac:dyDescent="0.25">
      <c r="A15" s="30" t="s">
        <v>26</v>
      </c>
      <c r="B15" s="31">
        <v>0.42857142857142855</v>
      </c>
    </row>
    <row r="16" spans="1:6" x14ac:dyDescent="0.25">
      <c r="A16" s="30" t="s">
        <v>25</v>
      </c>
      <c r="B16" s="31">
        <v>0.2857142857142857</v>
      </c>
    </row>
    <row r="17" spans="1:2" x14ac:dyDescent="0.25">
      <c r="A17" s="30" t="s">
        <v>66</v>
      </c>
      <c r="B17" s="31">
        <v>1</v>
      </c>
    </row>
    <row r="19" spans="1:2" x14ac:dyDescent="0.25">
      <c r="A19" s="29" t="s">
        <v>65</v>
      </c>
      <c r="B19" t="s">
        <v>70</v>
      </c>
    </row>
    <row r="20" spans="1:2" x14ac:dyDescent="0.25">
      <c r="A20" s="30" t="s">
        <v>27</v>
      </c>
      <c r="B20" s="31">
        <v>4.7619047619047616E-2</v>
      </c>
    </row>
    <row r="21" spans="1:2" x14ac:dyDescent="0.25">
      <c r="A21" s="30" t="s">
        <v>25</v>
      </c>
      <c r="B21" s="31">
        <v>0.95238095238095233</v>
      </c>
    </row>
    <row r="22" spans="1:2" x14ac:dyDescent="0.25">
      <c r="A22" s="30" t="s">
        <v>66</v>
      </c>
      <c r="B22" s="31">
        <v>1</v>
      </c>
    </row>
    <row r="24" spans="1:2" x14ac:dyDescent="0.25">
      <c r="A24" s="29" t="s">
        <v>65</v>
      </c>
      <c r="B24" t="s">
        <v>71</v>
      </c>
    </row>
    <row r="25" spans="1:2" x14ac:dyDescent="0.25">
      <c r="A25" s="30" t="s">
        <v>24</v>
      </c>
      <c r="B25" s="31">
        <v>0.95238095238095233</v>
      </c>
    </row>
    <row r="26" spans="1:2" x14ac:dyDescent="0.25">
      <c r="A26" s="30" t="s">
        <v>26</v>
      </c>
      <c r="B26" s="31">
        <v>4.7619047619047616E-2</v>
      </c>
    </row>
    <row r="27" spans="1:2" x14ac:dyDescent="0.25">
      <c r="A27" s="30" t="s">
        <v>66</v>
      </c>
      <c r="B27" s="31">
        <v>1</v>
      </c>
    </row>
    <row r="29" spans="1:2" x14ac:dyDescent="0.25">
      <c r="A29" s="29" t="s">
        <v>65</v>
      </c>
      <c r="B29" t="s">
        <v>69</v>
      </c>
    </row>
    <row r="30" spans="1:2" x14ac:dyDescent="0.25">
      <c r="A30" s="30" t="s">
        <v>24</v>
      </c>
      <c r="B30" s="31">
        <v>4.7619047619047616E-2</v>
      </c>
    </row>
    <row r="31" spans="1:2" x14ac:dyDescent="0.25">
      <c r="A31" s="30" t="s">
        <v>27</v>
      </c>
      <c r="B31" s="31">
        <v>0.23809523809523808</v>
      </c>
    </row>
    <row r="32" spans="1:2" x14ac:dyDescent="0.25">
      <c r="A32" s="30" t="s">
        <v>26</v>
      </c>
      <c r="B32" s="31">
        <v>0.42857142857142855</v>
      </c>
    </row>
    <row r="33" spans="1:2" x14ac:dyDescent="0.25">
      <c r="A33" s="30" t="s">
        <v>25</v>
      </c>
      <c r="B33" s="31">
        <v>0.2857142857142857</v>
      </c>
    </row>
    <row r="34" spans="1:2" x14ac:dyDescent="0.25">
      <c r="A34" s="30" t="s">
        <v>66</v>
      </c>
      <c r="B34" s="31">
        <v>1</v>
      </c>
    </row>
  </sheetData>
  <pageMargins left="0.7" right="0.7" top="0.78740157499999996" bottom="0.78740157499999996"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6005-3295-428B-8738-C001A68EB6F5}">
  <dimension ref="A1:AP34"/>
  <sheetViews>
    <sheetView tabSelected="1" workbookViewId="0">
      <selection activeCell="A2" sqref="A2:A23"/>
    </sheetView>
  </sheetViews>
  <sheetFormatPr baseColWidth="10" defaultRowHeight="15" x14ac:dyDescent="0.25"/>
  <cols>
    <col min="1" max="1" width="18" customWidth="1"/>
    <col min="4" max="4" width="11.42578125" customWidth="1"/>
    <col min="8" max="8" width="12.140625" customWidth="1"/>
    <col min="9" max="9" width="10.85546875" customWidth="1"/>
    <col min="10" max="10" width="12.85546875" customWidth="1"/>
    <col min="11" max="11" width="15.42578125" customWidth="1"/>
    <col min="12" max="12" width="14.140625" customWidth="1"/>
    <col min="13" max="13" width="15.7109375" customWidth="1"/>
  </cols>
  <sheetData>
    <row r="1" spans="1:42" x14ac:dyDescent="0.25">
      <c r="A1" s="17"/>
      <c r="B1" s="18" t="s">
        <v>29</v>
      </c>
      <c r="C1" s="18"/>
      <c r="D1" s="18"/>
      <c r="E1" s="18"/>
      <c r="F1" s="18"/>
      <c r="G1" s="18" t="s">
        <v>30</v>
      </c>
      <c r="H1" s="18"/>
      <c r="I1" s="18"/>
      <c r="J1" s="18"/>
      <c r="K1" s="18"/>
      <c r="L1" s="18"/>
      <c r="M1" s="18"/>
      <c r="N1" s="18" t="s">
        <v>31</v>
      </c>
      <c r="O1" s="18"/>
      <c r="P1" s="18"/>
      <c r="Q1" s="18"/>
      <c r="R1" s="18"/>
      <c r="S1" s="18"/>
      <c r="T1" s="18"/>
      <c r="U1" s="18" t="s">
        <v>32</v>
      </c>
      <c r="V1" s="18"/>
      <c r="W1" s="18"/>
      <c r="X1" s="18"/>
      <c r="Y1" s="18"/>
      <c r="Z1" s="18"/>
      <c r="AA1" s="18"/>
      <c r="AB1" s="18" t="s">
        <v>33</v>
      </c>
      <c r="AC1" s="18"/>
      <c r="AD1" s="18"/>
      <c r="AE1" s="18"/>
      <c r="AF1" s="18"/>
      <c r="AG1" s="18" t="s">
        <v>34</v>
      </c>
      <c r="AH1" s="18"/>
      <c r="AI1" s="18"/>
      <c r="AJ1" s="18"/>
      <c r="AK1" s="18"/>
      <c r="AL1" s="18" t="s">
        <v>35</v>
      </c>
      <c r="AM1" s="18"/>
      <c r="AN1" s="18"/>
      <c r="AO1" s="18"/>
      <c r="AP1" s="19"/>
    </row>
    <row r="2" spans="1:42" ht="15.75" thickBot="1" x14ac:dyDescent="0.3">
      <c r="A2" s="20" t="s">
        <v>0</v>
      </c>
      <c r="B2" s="22" t="s">
        <v>1</v>
      </c>
      <c r="C2" s="22" t="s">
        <v>2</v>
      </c>
      <c r="D2" s="22" t="s">
        <v>3</v>
      </c>
      <c r="E2" s="22" t="s">
        <v>4</v>
      </c>
      <c r="F2" s="22" t="s">
        <v>5</v>
      </c>
      <c r="G2" s="21" t="s">
        <v>6</v>
      </c>
      <c r="H2" t="s">
        <v>7</v>
      </c>
      <c r="I2" t="s">
        <v>8</v>
      </c>
      <c r="J2" t="s">
        <v>9</v>
      </c>
      <c r="K2" t="s">
        <v>10</v>
      </c>
      <c r="L2" t="s">
        <v>11</v>
      </c>
      <c r="M2" t="s">
        <v>68</v>
      </c>
      <c r="N2" s="21" t="s">
        <v>12</v>
      </c>
      <c r="O2" t="s">
        <v>7</v>
      </c>
      <c r="P2" t="s">
        <v>8</v>
      </c>
      <c r="Q2" t="s">
        <v>9</v>
      </c>
      <c r="R2" t="s">
        <v>11</v>
      </c>
      <c r="S2" t="s">
        <v>11</v>
      </c>
      <c r="T2" t="s">
        <v>10</v>
      </c>
      <c r="U2" s="21" t="s">
        <v>13</v>
      </c>
      <c r="V2" t="s">
        <v>7</v>
      </c>
      <c r="W2" t="s">
        <v>8</v>
      </c>
      <c r="X2" t="s">
        <v>9</v>
      </c>
      <c r="Y2" t="s">
        <v>10</v>
      </c>
      <c r="Z2" t="s">
        <v>11</v>
      </c>
      <c r="AA2" t="s">
        <v>10</v>
      </c>
      <c r="AB2" s="21" t="s">
        <v>14</v>
      </c>
      <c r="AC2" t="s">
        <v>15</v>
      </c>
      <c r="AD2" t="s">
        <v>16</v>
      </c>
      <c r="AE2" t="s">
        <v>17</v>
      </c>
      <c r="AF2" t="s">
        <v>18</v>
      </c>
      <c r="AG2" s="21" t="s">
        <v>14</v>
      </c>
      <c r="AH2" t="s">
        <v>19</v>
      </c>
      <c r="AI2" t="s">
        <v>20</v>
      </c>
      <c r="AJ2" t="s">
        <v>21</v>
      </c>
      <c r="AK2" t="s">
        <v>18</v>
      </c>
      <c r="AL2" s="21" t="s">
        <v>14</v>
      </c>
      <c r="AM2" t="s">
        <v>19</v>
      </c>
      <c r="AN2" t="s">
        <v>20</v>
      </c>
      <c r="AO2" t="s">
        <v>21</v>
      </c>
      <c r="AP2" s="26" t="s">
        <v>18</v>
      </c>
    </row>
    <row r="3" spans="1:42" x14ac:dyDescent="0.25">
      <c r="A3">
        <v>5</v>
      </c>
      <c r="B3" s="24">
        <v>28</v>
      </c>
      <c r="C3" s="24">
        <v>4</v>
      </c>
      <c r="D3" s="24" t="s">
        <v>22</v>
      </c>
      <c r="E3" s="24" t="s">
        <v>23</v>
      </c>
      <c r="F3" s="24" t="s">
        <v>24</v>
      </c>
      <c r="G3" s="16" t="s">
        <v>24</v>
      </c>
      <c r="H3" s="25" t="s">
        <v>25</v>
      </c>
      <c r="I3" s="25" t="s">
        <v>26</v>
      </c>
      <c r="J3" s="25" t="s">
        <v>25</v>
      </c>
      <c r="K3" s="25" t="s">
        <v>24</v>
      </c>
      <c r="L3" s="25" t="s">
        <v>26</v>
      </c>
      <c r="M3" s="25" t="s">
        <v>23</v>
      </c>
      <c r="N3" s="16" t="s">
        <v>24</v>
      </c>
      <c r="O3" s="25" t="s">
        <v>27</v>
      </c>
      <c r="P3" s="25" t="s">
        <v>26</v>
      </c>
      <c r="Q3" s="25" t="s">
        <v>25</v>
      </c>
      <c r="R3" s="25" t="s">
        <v>25</v>
      </c>
      <c r="S3" s="25" t="s">
        <v>26</v>
      </c>
      <c r="T3" s="25" t="s">
        <v>26</v>
      </c>
      <c r="U3" s="16" t="s">
        <v>24</v>
      </c>
      <c r="V3" s="25" t="s">
        <v>24</v>
      </c>
      <c r="W3" s="25" t="s">
        <v>27</v>
      </c>
      <c r="X3" s="25" t="s">
        <v>26</v>
      </c>
      <c r="Y3" s="25" t="s">
        <v>26</v>
      </c>
      <c r="Z3" s="25" t="s">
        <v>26</v>
      </c>
      <c r="AA3" s="25" t="s">
        <v>25</v>
      </c>
      <c r="AB3" s="16" t="s">
        <v>24</v>
      </c>
      <c r="AC3" s="25" t="s">
        <v>27</v>
      </c>
      <c r="AD3" s="25" t="s">
        <v>25</v>
      </c>
      <c r="AE3" s="25" t="s">
        <v>23</v>
      </c>
      <c r="AF3" s="25" t="s">
        <v>22</v>
      </c>
      <c r="AG3" s="16" t="s">
        <v>24</v>
      </c>
      <c r="AH3" s="25" t="s">
        <v>25</v>
      </c>
      <c r="AI3" s="25" t="s">
        <v>27</v>
      </c>
      <c r="AJ3" s="25" t="s">
        <v>26</v>
      </c>
      <c r="AK3" s="25" t="s">
        <v>28</v>
      </c>
      <c r="AL3" s="16" t="s">
        <v>24</v>
      </c>
      <c r="AM3" s="25" t="s">
        <v>25</v>
      </c>
      <c r="AN3" s="25" t="s">
        <v>25</v>
      </c>
      <c r="AO3" s="25" t="s">
        <v>25</v>
      </c>
      <c r="AP3" s="25" t="s">
        <v>26</v>
      </c>
    </row>
    <row r="4" spans="1:42" x14ac:dyDescent="0.25">
      <c r="A4">
        <v>7</v>
      </c>
      <c r="B4" s="24">
        <v>26</v>
      </c>
      <c r="C4" s="24">
        <v>2</v>
      </c>
      <c r="D4" s="24" t="s">
        <v>22</v>
      </c>
      <c r="E4" s="24" t="s">
        <v>26</v>
      </c>
      <c r="F4" s="24" t="s">
        <v>23</v>
      </c>
      <c r="G4" s="16" t="s">
        <v>24</v>
      </c>
      <c r="H4" s="25" t="s">
        <v>23</v>
      </c>
      <c r="I4" s="25" t="s">
        <v>26</v>
      </c>
      <c r="J4" s="25" t="s">
        <v>25</v>
      </c>
      <c r="K4" s="25" t="s">
        <v>24</v>
      </c>
      <c r="L4" s="25" t="s">
        <v>26</v>
      </c>
      <c r="M4" s="25" t="s">
        <v>23</v>
      </c>
      <c r="N4" s="16" t="s">
        <v>24</v>
      </c>
      <c r="O4" s="25" t="s">
        <v>27</v>
      </c>
      <c r="P4" s="25" t="s">
        <v>26</v>
      </c>
      <c r="Q4" s="25" t="s">
        <v>25</v>
      </c>
      <c r="R4" s="25" t="s">
        <v>22</v>
      </c>
      <c r="S4" s="25" t="s">
        <v>22</v>
      </c>
      <c r="T4" s="25" t="s">
        <v>25</v>
      </c>
      <c r="U4" s="16" t="s">
        <v>24</v>
      </c>
      <c r="V4" s="25" t="s">
        <v>27</v>
      </c>
      <c r="W4" s="25" t="s">
        <v>26</v>
      </c>
      <c r="X4" s="25" t="s">
        <v>25</v>
      </c>
      <c r="Y4" s="25" t="s">
        <v>26</v>
      </c>
      <c r="Z4" s="25" t="s">
        <v>22</v>
      </c>
      <c r="AA4" s="25" t="s">
        <v>25</v>
      </c>
      <c r="AB4" s="16" t="s">
        <v>24</v>
      </c>
      <c r="AC4" s="25" t="s">
        <v>22</v>
      </c>
      <c r="AD4" s="25" t="s">
        <v>28</v>
      </c>
      <c r="AE4" s="25" t="s">
        <v>26</v>
      </c>
      <c r="AF4" s="25" t="s">
        <v>28</v>
      </c>
      <c r="AG4" s="16" t="s">
        <v>24</v>
      </c>
      <c r="AH4" s="25" t="s">
        <v>28</v>
      </c>
      <c r="AI4" s="25" t="s">
        <v>24</v>
      </c>
      <c r="AJ4" s="25" t="s">
        <v>22</v>
      </c>
      <c r="AK4" s="25" t="s">
        <v>28</v>
      </c>
      <c r="AL4" s="16" t="s">
        <v>24</v>
      </c>
      <c r="AM4" s="25" t="s">
        <v>28</v>
      </c>
      <c r="AN4" s="25" t="s">
        <v>24</v>
      </c>
      <c r="AO4" s="25" t="s">
        <v>22</v>
      </c>
      <c r="AP4" s="25" t="s">
        <v>28</v>
      </c>
    </row>
    <row r="5" spans="1:42" x14ac:dyDescent="0.25">
      <c r="A5">
        <v>8</v>
      </c>
      <c r="B5" s="24">
        <v>26</v>
      </c>
      <c r="C5" s="24">
        <v>4</v>
      </c>
      <c r="D5" s="24" t="s">
        <v>28</v>
      </c>
      <c r="E5" s="24" t="s">
        <v>23</v>
      </c>
      <c r="F5" s="24" t="s">
        <v>24</v>
      </c>
      <c r="G5" s="16" t="s">
        <v>24</v>
      </c>
      <c r="H5" s="25" t="s">
        <v>27</v>
      </c>
      <c r="I5" s="25" t="s">
        <v>26</v>
      </c>
      <c r="J5" s="25" t="s">
        <v>25</v>
      </c>
      <c r="K5" s="25" t="s">
        <v>24</v>
      </c>
      <c r="L5" s="25" t="s">
        <v>24</v>
      </c>
      <c r="M5" s="25" t="s">
        <v>23</v>
      </c>
      <c r="N5" s="16" t="s">
        <v>24</v>
      </c>
      <c r="O5" s="25" t="s">
        <v>27</v>
      </c>
      <c r="P5" s="25" t="s">
        <v>27</v>
      </c>
      <c r="Q5" s="25" t="s">
        <v>25</v>
      </c>
      <c r="R5" s="25" t="s">
        <v>25</v>
      </c>
      <c r="S5" s="25" t="s">
        <v>22</v>
      </c>
      <c r="T5" s="25" t="s">
        <v>25</v>
      </c>
      <c r="U5" s="16" t="s">
        <v>24</v>
      </c>
      <c r="V5" s="25" t="s">
        <v>27</v>
      </c>
      <c r="W5" s="25" t="s">
        <v>26</v>
      </c>
      <c r="X5" s="25" t="s">
        <v>25</v>
      </c>
      <c r="Y5" s="25" t="s">
        <v>26</v>
      </c>
      <c r="Z5" s="25" t="s">
        <v>22</v>
      </c>
      <c r="AA5" s="25" t="s">
        <v>25</v>
      </c>
      <c r="AB5" s="16" t="s">
        <v>24</v>
      </c>
      <c r="AC5" s="25" t="s">
        <v>28</v>
      </c>
      <c r="AD5" s="25" t="s">
        <v>23</v>
      </c>
      <c r="AE5" s="25" t="s">
        <v>22</v>
      </c>
      <c r="AF5" s="25" t="s">
        <v>28</v>
      </c>
      <c r="AG5" s="16" t="s">
        <v>24</v>
      </c>
      <c r="AH5" s="25" t="s">
        <v>28</v>
      </c>
      <c r="AI5" s="25" t="s">
        <v>23</v>
      </c>
      <c r="AJ5" s="25" t="s">
        <v>26</v>
      </c>
      <c r="AK5" s="25" t="s">
        <v>28</v>
      </c>
      <c r="AL5" s="16" t="s">
        <v>24</v>
      </c>
      <c r="AM5" s="25" t="s">
        <v>28</v>
      </c>
      <c r="AN5" s="25" t="s">
        <v>23</v>
      </c>
      <c r="AO5" s="25" t="s">
        <v>22</v>
      </c>
      <c r="AP5" s="25" t="s">
        <v>28</v>
      </c>
    </row>
    <row r="6" spans="1:42" x14ac:dyDescent="0.25">
      <c r="A6">
        <v>9</v>
      </c>
      <c r="B6" s="24">
        <v>25</v>
      </c>
      <c r="C6" s="24">
        <v>3</v>
      </c>
      <c r="D6" s="24" t="s">
        <v>28</v>
      </c>
      <c r="E6" s="24" t="s">
        <v>23</v>
      </c>
      <c r="F6" s="24" t="s">
        <v>24</v>
      </c>
      <c r="G6" s="16" t="s">
        <v>24</v>
      </c>
      <c r="H6" s="25" t="s">
        <v>24</v>
      </c>
      <c r="I6" s="25" t="s">
        <v>24</v>
      </c>
      <c r="J6" s="25" t="s">
        <v>25</v>
      </c>
      <c r="K6" s="25" t="s">
        <v>24</v>
      </c>
      <c r="L6" s="25" t="s">
        <v>24</v>
      </c>
      <c r="M6" s="25" t="s">
        <v>23</v>
      </c>
      <c r="N6" s="16" t="s">
        <v>24</v>
      </c>
      <c r="O6" s="25" t="s">
        <v>27</v>
      </c>
      <c r="P6" s="25" t="s">
        <v>26</v>
      </c>
      <c r="Q6" s="25" t="s">
        <v>25</v>
      </c>
      <c r="R6" s="25" t="s">
        <v>22</v>
      </c>
      <c r="S6" s="25" t="s">
        <v>26</v>
      </c>
      <c r="T6" s="25" t="s">
        <v>22</v>
      </c>
      <c r="U6" s="16" t="s">
        <v>24</v>
      </c>
      <c r="V6" s="25" t="s">
        <v>25</v>
      </c>
      <c r="W6" s="25" t="s">
        <v>26</v>
      </c>
      <c r="X6" s="25" t="s">
        <v>25</v>
      </c>
      <c r="Y6" s="25" t="s">
        <v>26</v>
      </c>
      <c r="Z6" s="25" t="s">
        <v>22</v>
      </c>
      <c r="AA6" s="25" t="s">
        <v>25</v>
      </c>
      <c r="AB6" s="16" t="s">
        <v>24</v>
      </c>
      <c r="AC6" s="25" t="s">
        <v>22</v>
      </c>
      <c r="AD6" s="25" t="s">
        <v>25</v>
      </c>
      <c r="AE6" s="25" t="s">
        <v>24</v>
      </c>
      <c r="AF6" s="25" t="s">
        <v>24</v>
      </c>
      <c r="AG6" s="16" t="s">
        <v>24</v>
      </c>
      <c r="AH6" s="25" t="s">
        <v>26</v>
      </c>
      <c r="AI6" s="25" t="s">
        <v>24</v>
      </c>
      <c r="AJ6" s="25" t="s">
        <v>24</v>
      </c>
      <c r="AK6" s="25" t="s">
        <v>24</v>
      </c>
      <c r="AL6" s="16" t="s">
        <v>24</v>
      </c>
      <c r="AM6" s="25" t="s">
        <v>28</v>
      </c>
      <c r="AN6" s="25" t="s">
        <v>28</v>
      </c>
      <c r="AO6" s="25" t="s">
        <v>27</v>
      </c>
      <c r="AP6" s="25" t="s">
        <v>28</v>
      </c>
    </row>
    <row r="7" spans="1:42" x14ac:dyDescent="0.25">
      <c r="A7">
        <v>11</v>
      </c>
      <c r="B7" s="24">
        <v>27</v>
      </c>
      <c r="C7" s="24">
        <v>4</v>
      </c>
      <c r="D7" s="24" t="s">
        <v>28</v>
      </c>
      <c r="E7" s="24" t="s">
        <v>24</v>
      </c>
      <c r="F7" s="24" t="s">
        <v>24</v>
      </c>
      <c r="G7" s="16" t="s">
        <v>24</v>
      </c>
      <c r="H7" s="25" t="s">
        <v>27</v>
      </c>
      <c r="I7" s="25" t="s">
        <v>26</v>
      </c>
      <c r="J7" s="25" t="s">
        <v>25</v>
      </c>
      <c r="K7" s="25" t="s">
        <v>24</v>
      </c>
      <c r="L7" s="25" t="s">
        <v>24</v>
      </c>
      <c r="M7" s="25" t="s">
        <v>26</v>
      </c>
      <c r="N7" s="16" t="s">
        <v>24</v>
      </c>
      <c r="O7" s="25" t="s">
        <v>27</v>
      </c>
      <c r="P7" s="25" t="s">
        <v>26</v>
      </c>
      <c r="Q7" s="25" t="s">
        <v>25</v>
      </c>
      <c r="R7" s="25" t="s">
        <v>25</v>
      </c>
      <c r="S7" s="25" t="s">
        <v>22</v>
      </c>
      <c r="T7" s="25" t="s">
        <v>25</v>
      </c>
      <c r="U7" s="16" t="s">
        <v>24</v>
      </c>
      <c r="V7" s="25" t="s">
        <v>27</v>
      </c>
      <c r="W7" s="25" t="s">
        <v>26</v>
      </c>
      <c r="X7" s="25" t="s">
        <v>25</v>
      </c>
      <c r="Y7" s="25" t="s">
        <v>26</v>
      </c>
      <c r="Z7" s="25" t="s">
        <v>26</v>
      </c>
      <c r="AA7" s="25" t="s">
        <v>22</v>
      </c>
      <c r="AB7" s="16" t="s">
        <v>24</v>
      </c>
      <c r="AC7" s="25" t="s">
        <v>25</v>
      </c>
      <c r="AD7" s="25" t="s">
        <v>24</v>
      </c>
      <c r="AE7" s="25" t="s">
        <v>23</v>
      </c>
      <c r="AF7" s="25" t="s">
        <v>28</v>
      </c>
      <c r="AG7" s="16" t="s">
        <v>24</v>
      </c>
      <c r="AH7" s="25" t="s">
        <v>25</v>
      </c>
      <c r="AI7" s="25" t="s">
        <v>26</v>
      </c>
      <c r="AJ7" s="25" t="s">
        <v>23</v>
      </c>
      <c r="AK7" s="25" t="s">
        <v>22</v>
      </c>
      <c r="AL7" s="16" t="s">
        <v>24</v>
      </c>
      <c r="AM7" s="25" t="s">
        <v>25</v>
      </c>
      <c r="AN7" s="25" t="s">
        <v>24</v>
      </c>
      <c r="AO7" s="25" t="s">
        <v>23</v>
      </c>
      <c r="AP7" s="25" t="s">
        <v>26</v>
      </c>
    </row>
    <row r="8" spans="1:42" x14ac:dyDescent="0.25">
      <c r="A8">
        <v>12</v>
      </c>
      <c r="B8" s="24">
        <v>28</v>
      </c>
      <c r="C8" s="24">
        <v>1</v>
      </c>
      <c r="D8" s="24" t="s">
        <v>22</v>
      </c>
      <c r="E8" s="24" t="s">
        <v>24</v>
      </c>
      <c r="F8" s="24" t="s">
        <v>23</v>
      </c>
      <c r="G8" s="16" t="s">
        <v>24</v>
      </c>
      <c r="H8" s="25" t="s">
        <v>24</v>
      </c>
      <c r="I8" s="25" t="s">
        <v>27</v>
      </c>
      <c r="J8" s="25" t="s">
        <v>25</v>
      </c>
      <c r="K8" s="25" t="s">
        <v>24</v>
      </c>
      <c r="L8" s="25" t="s">
        <v>26</v>
      </c>
      <c r="M8" s="25" t="s">
        <v>23</v>
      </c>
      <c r="N8" s="16" t="s">
        <v>24</v>
      </c>
      <c r="O8" s="25" t="s">
        <v>23</v>
      </c>
      <c r="P8" s="25" t="s">
        <v>27</v>
      </c>
      <c r="Q8" s="25" t="s">
        <v>25</v>
      </c>
      <c r="R8" s="25" t="s">
        <v>22</v>
      </c>
      <c r="S8" s="25" t="s">
        <v>22</v>
      </c>
      <c r="T8" s="25" t="s">
        <v>25</v>
      </c>
      <c r="U8" s="16" t="s">
        <v>24</v>
      </c>
      <c r="V8" s="25" t="s">
        <v>23</v>
      </c>
      <c r="W8" s="25" t="s">
        <v>27</v>
      </c>
      <c r="X8" s="25" t="s">
        <v>25</v>
      </c>
      <c r="Y8" s="25" t="s">
        <v>26</v>
      </c>
      <c r="Z8" s="25" t="s">
        <v>26</v>
      </c>
      <c r="AA8" s="25" t="s">
        <v>25</v>
      </c>
      <c r="AB8" s="16" t="s">
        <v>24</v>
      </c>
      <c r="AC8" s="25" t="s">
        <v>28</v>
      </c>
      <c r="AD8" s="25" t="s">
        <v>24</v>
      </c>
      <c r="AE8" s="25" t="s">
        <v>28</v>
      </c>
      <c r="AF8" s="25" t="s">
        <v>28</v>
      </c>
      <c r="AG8" s="16" t="s">
        <v>24</v>
      </c>
      <c r="AH8" s="25" t="s">
        <v>25</v>
      </c>
      <c r="AI8" s="25" t="s">
        <v>25</v>
      </c>
      <c r="AJ8" s="25" t="s">
        <v>27</v>
      </c>
      <c r="AK8" s="25" t="s">
        <v>23</v>
      </c>
      <c r="AL8" s="16" t="s">
        <v>24</v>
      </c>
      <c r="AM8" s="25" t="s">
        <v>22</v>
      </c>
      <c r="AN8" s="25" t="s">
        <v>23</v>
      </c>
      <c r="AO8" s="25" t="s">
        <v>25</v>
      </c>
      <c r="AP8" s="25" t="s">
        <v>22</v>
      </c>
    </row>
    <row r="9" spans="1:42" x14ac:dyDescent="0.25">
      <c r="A9">
        <v>13</v>
      </c>
      <c r="B9" s="24">
        <v>25</v>
      </c>
      <c r="C9" s="24">
        <v>5</v>
      </c>
      <c r="D9" s="24" t="s">
        <v>28</v>
      </c>
      <c r="E9" s="24" t="s">
        <v>27</v>
      </c>
      <c r="F9" s="24" t="s">
        <v>24</v>
      </c>
      <c r="G9" s="16" t="s">
        <v>24</v>
      </c>
      <c r="H9" s="25" t="s">
        <v>26</v>
      </c>
      <c r="I9" s="25" t="s">
        <v>25</v>
      </c>
      <c r="J9" s="25" t="s">
        <v>25</v>
      </c>
      <c r="K9" s="25" t="s">
        <v>24</v>
      </c>
      <c r="L9" s="25" t="s">
        <v>23</v>
      </c>
      <c r="M9" s="25" t="s">
        <v>23</v>
      </c>
      <c r="N9" s="16" t="s">
        <v>24</v>
      </c>
      <c r="O9" s="25" t="s">
        <v>26</v>
      </c>
      <c r="P9" s="25" t="s">
        <v>25</v>
      </c>
      <c r="Q9" s="25" t="s">
        <v>25</v>
      </c>
      <c r="R9" s="25" t="s">
        <v>25</v>
      </c>
      <c r="S9" s="25" t="s">
        <v>25</v>
      </c>
      <c r="T9" s="25" t="s">
        <v>25</v>
      </c>
      <c r="U9" s="16" t="s">
        <v>24</v>
      </c>
      <c r="V9" s="25" t="s">
        <v>26</v>
      </c>
      <c r="W9" s="25" t="s">
        <v>25</v>
      </c>
      <c r="X9" s="25" t="s">
        <v>25</v>
      </c>
      <c r="Y9" s="25" t="s">
        <v>26</v>
      </c>
      <c r="Z9" s="25" t="s">
        <v>22</v>
      </c>
      <c r="AA9" s="25" t="s">
        <v>25</v>
      </c>
      <c r="AB9" s="16" t="s">
        <v>24</v>
      </c>
      <c r="AC9" s="25" t="s">
        <v>28</v>
      </c>
      <c r="AD9" s="25" t="s">
        <v>28</v>
      </c>
      <c r="AE9" s="25" t="s">
        <v>23</v>
      </c>
      <c r="AF9" s="25" t="s">
        <v>28</v>
      </c>
      <c r="AG9" s="16" t="s">
        <v>24</v>
      </c>
      <c r="AH9" s="25" t="s">
        <v>28</v>
      </c>
      <c r="AI9" s="25" t="s">
        <v>24</v>
      </c>
      <c r="AJ9" s="25" t="s">
        <v>22</v>
      </c>
      <c r="AK9" s="25" t="s">
        <v>28</v>
      </c>
      <c r="AL9" s="16" t="s">
        <v>24</v>
      </c>
      <c r="AM9" s="25" t="s">
        <v>28</v>
      </c>
      <c r="AN9" s="25" t="s">
        <v>24</v>
      </c>
      <c r="AO9" s="25" t="s">
        <v>28</v>
      </c>
      <c r="AP9" s="25" t="s">
        <v>28</v>
      </c>
    </row>
    <row r="10" spans="1:42" x14ac:dyDescent="0.25">
      <c r="A10">
        <v>15</v>
      </c>
      <c r="B10" s="24">
        <v>27</v>
      </c>
      <c r="C10" s="24">
        <v>1</v>
      </c>
      <c r="D10" s="24" t="s">
        <v>22</v>
      </c>
      <c r="E10" s="24" t="s">
        <v>25</v>
      </c>
      <c r="F10" s="24" t="s">
        <v>27</v>
      </c>
      <c r="G10" s="16" t="s">
        <v>24</v>
      </c>
      <c r="H10" s="25" t="s">
        <v>26</v>
      </c>
      <c r="I10" s="25" t="s">
        <v>25</v>
      </c>
      <c r="J10" s="25" t="s">
        <v>25</v>
      </c>
      <c r="K10" s="25" t="s">
        <v>24</v>
      </c>
      <c r="L10" s="25" t="s">
        <v>24</v>
      </c>
      <c r="M10" s="25" t="s">
        <v>23</v>
      </c>
      <c r="N10" s="16" t="s">
        <v>24</v>
      </c>
      <c r="O10" s="25" t="s">
        <v>23</v>
      </c>
      <c r="P10" s="25" t="s">
        <v>23</v>
      </c>
      <c r="Q10" s="25" t="s">
        <v>26</v>
      </c>
      <c r="R10" s="25" t="s">
        <v>25</v>
      </c>
      <c r="S10" s="25" t="s">
        <v>22</v>
      </c>
      <c r="T10" s="25" t="s">
        <v>25</v>
      </c>
      <c r="U10" s="16" t="s">
        <v>24</v>
      </c>
      <c r="V10" s="25" t="s">
        <v>24</v>
      </c>
      <c r="W10" s="25" t="s">
        <v>27</v>
      </c>
      <c r="X10" s="25" t="s">
        <v>26</v>
      </c>
      <c r="Y10" s="25" t="s">
        <v>26</v>
      </c>
      <c r="Z10" s="25" t="s">
        <v>26</v>
      </c>
      <c r="AA10" s="25" t="s">
        <v>25</v>
      </c>
      <c r="AB10" s="16" t="s">
        <v>24</v>
      </c>
      <c r="AC10" s="25" t="s">
        <v>25</v>
      </c>
      <c r="AD10" s="25" t="s">
        <v>26</v>
      </c>
      <c r="AE10" s="25" t="s">
        <v>26</v>
      </c>
      <c r="AF10" s="25" t="s">
        <v>22</v>
      </c>
      <c r="AG10" s="16" t="s">
        <v>24</v>
      </c>
      <c r="AH10" s="25" t="s">
        <v>22</v>
      </c>
      <c r="AI10" s="25" t="s">
        <v>26</v>
      </c>
      <c r="AJ10" s="25" t="s">
        <v>26</v>
      </c>
      <c r="AK10" s="25" t="s">
        <v>27</v>
      </c>
      <c r="AL10" s="16" t="s">
        <v>24</v>
      </c>
      <c r="AM10" s="25" t="s">
        <v>28</v>
      </c>
      <c r="AN10" s="25" t="s">
        <v>26</v>
      </c>
      <c r="AO10" s="25" t="s">
        <v>26</v>
      </c>
      <c r="AP10" s="25" t="s">
        <v>24</v>
      </c>
    </row>
    <row r="11" spans="1:42" x14ac:dyDescent="0.25">
      <c r="A11">
        <v>17</v>
      </c>
      <c r="B11" s="24">
        <v>29</v>
      </c>
      <c r="C11" s="24">
        <v>5</v>
      </c>
      <c r="D11" s="24" t="s">
        <v>28</v>
      </c>
      <c r="E11" s="24" t="s">
        <v>23</v>
      </c>
      <c r="F11" s="24" t="s">
        <v>24</v>
      </c>
      <c r="G11" s="16" t="s">
        <v>24</v>
      </c>
      <c r="H11" s="25" t="s">
        <v>27</v>
      </c>
      <c r="I11" s="25" t="s">
        <v>27</v>
      </c>
      <c r="J11" s="25" t="s">
        <v>25</v>
      </c>
      <c r="K11" s="25" t="s">
        <v>24</v>
      </c>
      <c r="L11" s="25" t="s">
        <v>26</v>
      </c>
      <c r="M11" s="25" t="s">
        <v>23</v>
      </c>
      <c r="N11" s="16" t="s">
        <v>24</v>
      </c>
      <c r="O11" s="25" t="s">
        <v>27</v>
      </c>
      <c r="P11" s="25" t="s">
        <v>26</v>
      </c>
      <c r="Q11" s="25" t="s">
        <v>25</v>
      </c>
      <c r="R11" s="25" t="s">
        <v>25</v>
      </c>
      <c r="S11" s="25" t="s">
        <v>25</v>
      </c>
      <c r="T11" s="25" t="s">
        <v>25</v>
      </c>
      <c r="U11" s="16" t="s">
        <v>24</v>
      </c>
      <c r="V11" s="25" t="s">
        <v>27</v>
      </c>
      <c r="W11" s="25" t="s">
        <v>26</v>
      </c>
      <c r="X11" s="25" t="s">
        <v>25</v>
      </c>
      <c r="Y11" s="25" t="s">
        <v>26</v>
      </c>
      <c r="Z11" s="25" t="s">
        <v>26</v>
      </c>
      <c r="AA11" s="25" t="s">
        <v>25</v>
      </c>
      <c r="AB11" s="16" t="s">
        <v>24</v>
      </c>
      <c r="AC11" s="25" t="s">
        <v>22</v>
      </c>
      <c r="AD11" s="25" t="s">
        <v>28</v>
      </c>
      <c r="AE11" s="25" t="s">
        <v>25</v>
      </c>
      <c r="AF11" s="25" t="s">
        <v>28</v>
      </c>
      <c r="AG11" s="16" t="s">
        <v>24</v>
      </c>
      <c r="AH11" s="25" t="s">
        <v>28</v>
      </c>
      <c r="AI11" s="25" t="s">
        <v>24</v>
      </c>
      <c r="AJ11" s="25" t="s">
        <v>28</v>
      </c>
      <c r="AK11" s="25" t="s">
        <v>28</v>
      </c>
      <c r="AL11" s="16" t="s">
        <v>24</v>
      </c>
      <c r="AM11" s="25" t="s">
        <v>28</v>
      </c>
      <c r="AN11" s="25" t="s">
        <v>24</v>
      </c>
      <c r="AO11" s="25" t="s">
        <v>28</v>
      </c>
      <c r="AP11" s="25" t="s">
        <v>28</v>
      </c>
    </row>
    <row r="12" spans="1:42" x14ac:dyDescent="0.25">
      <c r="A12">
        <v>19</v>
      </c>
      <c r="B12" s="24">
        <v>27</v>
      </c>
      <c r="C12" s="24">
        <v>2</v>
      </c>
      <c r="D12" s="24" t="s">
        <v>28</v>
      </c>
      <c r="E12" s="24" t="s">
        <v>27</v>
      </c>
      <c r="F12" s="24" t="s">
        <v>24</v>
      </c>
      <c r="G12" s="16" t="s">
        <v>24</v>
      </c>
      <c r="H12" s="25" t="s">
        <v>27</v>
      </c>
      <c r="I12" s="25" t="s">
        <v>26</v>
      </c>
      <c r="J12" s="25" t="s">
        <v>25</v>
      </c>
      <c r="K12" s="25" t="s">
        <v>24</v>
      </c>
      <c r="L12" s="25" t="s">
        <v>24</v>
      </c>
      <c r="M12" s="25" t="s">
        <v>23</v>
      </c>
      <c r="N12" s="16" t="s">
        <v>24</v>
      </c>
      <c r="O12" s="25" t="s">
        <v>27</v>
      </c>
      <c r="P12" s="25" t="s">
        <v>26</v>
      </c>
      <c r="Q12" s="25" t="s">
        <v>25</v>
      </c>
      <c r="R12" s="25" t="s">
        <v>25</v>
      </c>
      <c r="S12" s="25" t="s">
        <v>22</v>
      </c>
      <c r="T12" s="25" t="s">
        <v>25</v>
      </c>
      <c r="U12" s="16" t="s">
        <v>24</v>
      </c>
      <c r="V12" s="25" t="s">
        <v>27</v>
      </c>
      <c r="W12" s="25" t="s">
        <v>26</v>
      </c>
      <c r="X12" s="25" t="s">
        <v>25</v>
      </c>
      <c r="Y12" s="25" t="s">
        <v>26</v>
      </c>
      <c r="Z12" s="25" t="s">
        <v>26</v>
      </c>
      <c r="AA12" s="25" t="s">
        <v>25</v>
      </c>
      <c r="AB12" s="16" t="s">
        <v>24</v>
      </c>
      <c r="AC12" s="25" t="s">
        <v>27</v>
      </c>
      <c r="AD12" s="25" t="s">
        <v>22</v>
      </c>
      <c r="AE12" s="25" t="s">
        <v>23</v>
      </c>
      <c r="AF12" s="25" t="s">
        <v>28</v>
      </c>
      <c r="AG12" s="16" t="s">
        <v>24</v>
      </c>
      <c r="AH12" s="25" t="s">
        <v>25</v>
      </c>
      <c r="AI12" s="25" t="s">
        <v>24</v>
      </c>
      <c r="AJ12" s="25" t="s">
        <v>26</v>
      </c>
      <c r="AK12" s="25" t="s">
        <v>28</v>
      </c>
      <c r="AL12" s="16" t="s">
        <v>24</v>
      </c>
      <c r="AM12" s="25" t="s">
        <v>25</v>
      </c>
      <c r="AN12" s="25" t="s">
        <v>24</v>
      </c>
      <c r="AO12" s="25" t="s">
        <v>27</v>
      </c>
      <c r="AP12" s="25" t="s">
        <v>28</v>
      </c>
    </row>
    <row r="13" spans="1:42" x14ac:dyDescent="0.25">
      <c r="A13">
        <v>23</v>
      </c>
      <c r="B13" s="24">
        <v>33</v>
      </c>
      <c r="C13" s="24">
        <v>1</v>
      </c>
      <c r="D13" s="24" t="s">
        <v>22</v>
      </c>
      <c r="E13" s="24" t="s">
        <v>24</v>
      </c>
      <c r="F13" s="24" t="s">
        <v>24</v>
      </c>
      <c r="G13" s="16" t="s">
        <v>24</v>
      </c>
      <c r="H13" s="25" t="s">
        <v>26</v>
      </c>
      <c r="I13" s="25" t="s">
        <v>27</v>
      </c>
      <c r="J13" s="25" t="s">
        <v>25</v>
      </c>
      <c r="K13" s="25" t="s">
        <v>24</v>
      </c>
      <c r="L13" s="25" t="s">
        <v>24</v>
      </c>
      <c r="M13" s="25" t="s">
        <v>26</v>
      </c>
      <c r="N13" s="16" t="s">
        <v>24</v>
      </c>
      <c r="O13" s="25" t="s">
        <v>26</v>
      </c>
      <c r="P13" s="25" t="s">
        <v>27</v>
      </c>
      <c r="Q13" s="25" t="s">
        <v>25</v>
      </c>
      <c r="R13" s="25" t="s">
        <v>25</v>
      </c>
      <c r="S13" s="25" t="s">
        <v>25</v>
      </c>
      <c r="T13" s="25" t="s">
        <v>25</v>
      </c>
      <c r="U13" s="16" t="s">
        <v>24</v>
      </c>
      <c r="V13" s="25" t="s">
        <v>23</v>
      </c>
      <c r="W13" s="25" t="s">
        <v>26</v>
      </c>
      <c r="X13" s="25" t="s">
        <v>25</v>
      </c>
      <c r="Y13" s="25" t="s">
        <v>26</v>
      </c>
      <c r="Z13" s="25" t="s">
        <v>26</v>
      </c>
      <c r="AA13" s="25" t="s">
        <v>22</v>
      </c>
      <c r="AB13" s="16" t="s">
        <v>24</v>
      </c>
      <c r="AC13" s="25" t="s">
        <v>28</v>
      </c>
      <c r="AD13" s="25" t="s">
        <v>28</v>
      </c>
      <c r="AE13" s="25" t="s">
        <v>26</v>
      </c>
      <c r="AF13" s="25" t="s">
        <v>28</v>
      </c>
      <c r="AG13" s="16" t="s">
        <v>24</v>
      </c>
      <c r="AH13" s="25" t="s">
        <v>22</v>
      </c>
      <c r="AI13" s="25" t="s">
        <v>26</v>
      </c>
      <c r="AJ13" s="25" t="s">
        <v>27</v>
      </c>
      <c r="AK13" s="25" t="s">
        <v>28</v>
      </c>
      <c r="AL13" s="16" t="s">
        <v>24</v>
      </c>
      <c r="AM13" s="25" t="s">
        <v>28</v>
      </c>
      <c r="AN13" s="25" t="s">
        <v>24</v>
      </c>
      <c r="AO13" s="25" t="s">
        <v>28</v>
      </c>
      <c r="AP13" s="25" t="s">
        <v>28</v>
      </c>
    </row>
    <row r="14" spans="1:42" x14ac:dyDescent="0.25">
      <c r="A14">
        <v>26</v>
      </c>
      <c r="B14" s="24">
        <v>32</v>
      </c>
      <c r="C14" s="24">
        <v>3</v>
      </c>
      <c r="D14" s="24" t="s">
        <v>28</v>
      </c>
      <c r="E14" s="24" t="s">
        <v>23</v>
      </c>
      <c r="F14" s="24" t="s">
        <v>24</v>
      </c>
      <c r="G14" s="16" t="s">
        <v>24</v>
      </c>
      <c r="H14" s="25" t="s">
        <v>26</v>
      </c>
      <c r="I14" s="25" t="s">
        <v>25</v>
      </c>
      <c r="J14" s="25" t="s">
        <v>25</v>
      </c>
      <c r="K14" s="25" t="s">
        <v>24</v>
      </c>
      <c r="L14" s="25" t="s">
        <v>24</v>
      </c>
      <c r="M14" s="25" t="s">
        <v>23</v>
      </c>
      <c r="N14" s="16" t="s">
        <v>24</v>
      </c>
      <c r="O14" s="25" t="s">
        <v>23</v>
      </c>
      <c r="P14" s="25" t="s">
        <v>27</v>
      </c>
      <c r="Q14" s="25" t="s">
        <v>25</v>
      </c>
      <c r="R14" s="25" t="s">
        <v>25</v>
      </c>
      <c r="S14" s="25" t="s">
        <v>25</v>
      </c>
      <c r="T14" s="25" t="s">
        <v>25</v>
      </c>
      <c r="U14" s="16" t="s">
        <v>24</v>
      </c>
      <c r="V14" s="25" t="s">
        <v>23</v>
      </c>
      <c r="W14" s="25" t="s">
        <v>26</v>
      </c>
      <c r="X14" s="25" t="s">
        <v>25</v>
      </c>
      <c r="Y14" s="25" t="s">
        <v>26</v>
      </c>
      <c r="Z14" s="25" t="s">
        <v>26</v>
      </c>
      <c r="AA14" s="25" t="s">
        <v>25</v>
      </c>
      <c r="AB14" s="16" t="s">
        <v>24</v>
      </c>
      <c r="AC14" s="25" t="s">
        <v>23</v>
      </c>
      <c r="AD14" s="25" t="s">
        <v>28</v>
      </c>
      <c r="AE14" s="25" t="s">
        <v>27</v>
      </c>
      <c r="AF14" s="25" t="s">
        <v>26</v>
      </c>
      <c r="AG14" s="16" t="s">
        <v>24</v>
      </c>
      <c r="AH14" s="25" t="s">
        <v>28</v>
      </c>
      <c r="AI14" s="25" t="s">
        <v>23</v>
      </c>
      <c r="AJ14" s="25" t="s">
        <v>28</v>
      </c>
      <c r="AK14" s="25" t="s">
        <v>25</v>
      </c>
      <c r="AL14" s="16" t="s">
        <v>24</v>
      </c>
      <c r="AM14" s="25" t="s">
        <v>28</v>
      </c>
      <c r="AN14" s="25" t="s">
        <v>24</v>
      </c>
      <c r="AO14" s="25" t="s">
        <v>28</v>
      </c>
      <c r="AP14" s="25" t="s">
        <v>27</v>
      </c>
    </row>
    <row r="15" spans="1:42" x14ac:dyDescent="0.25">
      <c r="A15">
        <v>27</v>
      </c>
      <c r="B15" s="24">
        <v>25</v>
      </c>
      <c r="C15" s="24">
        <v>5</v>
      </c>
      <c r="D15" s="24" t="s">
        <v>28</v>
      </c>
      <c r="E15" s="24" t="s">
        <v>24</v>
      </c>
      <c r="F15" s="24" t="s">
        <v>24</v>
      </c>
      <c r="G15" s="16" t="s">
        <v>24</v>
      </c>
      <c r="H15" s="25" t="s">
        <v>27</v>
      </c>
      <c r="I15" s="25" t="s">
        <v>25</v>
      </c>
      <c r="J15" s="25" t="s">
        <v>25</v>
      </c>
      <c r="K15" s="25" t="s">
        <v>24</v>
      </c>
      <c r="L15" s="25" t="s">
        <v>24</v>
      </c>
      <c r="M15" s="25" t="s">
        <v>23</v>
      </c>
      <c r="N15" s="16" t="s">
        <v>24</v>
      </c>
      <c r="O15" s="25" t="s">
        <v>23</v>
      </c>
      <c r="P15" s="25" t="s">
        <v>25</v>
      </c>
      <c r="Q15" s="25" t="s">
        <v>25</v>
      </c>
      <c r="R15" s="25" t="s">
        <v>25</v>
      </c>
      <c r="S15" s="25" t="s">
        <v>26</v>
      </c>
      <c r="T15" s="25" t="s">
        <v>25</v>
      </c>
      <c r="U15" s="16" t="s">
        <v>24</v>
      </c>
      <c r="V15" s="25" t="s">
        <v>23</v>
      </c>
      <c r="W15" s="25" t="s">
        <v>25</v>
      </c>
      <c r="X15" s="25" t="s">
        <v>25</v>
      </c>
      <c r="Y15" s="25" t="s">
        <v>26</v>
      </c>
      <c r="Z15" s="25" t="s">
        <v>26</v>
      </c>
      <c r="AA15" s="25" t="s">
        <v>26</v>
      </c>
      <c r="AB15" s="16" t="s">
        <v>24</v>
      </c>
      <c r="AC15" s="25" t="s">
        <v>26</v>
      </c>
      <c r="AD15" s="25" t="s">
        <v>28</v>
      </c>
      <c r="AE15" s="25" t="s">
        <v>24</v>
      </c>
      <c r="AF15" s="25" t="s">
        <v>23</v>
      </c>
      <c r="AG15" s="16" t="s">
        <v>24</v>
      </c>
      <c r="AH15" s="25" t="s">
        <v>23</v>
      </c>
      <c r="AI15" s="25" t="s">
        <v>27</v>
      </c>
      <c r="AJ15" s="25" t="s">
        <v>28</v>
      </c>
      <c r="AK15" s="25" t="s">
        <v>23</v>
      </c>
      <c r="AL15" s="16" t="s">
        <v>24</v>
      </c>
      <c r="AM15" s="25" t="s">
        <v>28</v>
      </c>
      <c r="AN15" s="25" t="s">
        <v>22</v>
      </c>
      <c r="AO15" s="25" t="s">
        <v>22</v>
      </c>
      <c r="AP15" s="25" t="s">
        <v>25</v>
      </c>
    </row>
    <row r="16" spans="1:42" x14ac:dyDescent="0.25">
      <c r="A16">
        <v>28</v>
      </c>
      <c r="B16" s="24">
        <v>30</v>
      </c>
      <c r="C16" s="24">
        <v>5</v>
      </c>
      <c r="D16" s="24" t="s">
        <v>28</v>
      </c>
      <c r="E16" s="24" t="s">
        <v>26</v>
      </c>
      <c r="F16" s="24" t="s">
        <v>24</v>
      </c>
      <c r="G16" s="16" t="s">
        <v>24</v>
      </c>
      <c r="H16" s="25" t="s">
        <v>27</v>
      </c>
      <c r="I16" s="25" t="s">
        <v>26</v>
      </c>
      <c r="J16" s="25" t="s">
        <v>25</v>
      </c>
      <c r="K16" s="25" t="s">
        <v>24</v>
      </c>
      <c r="L16" s="25" t="s">
        <v>24</v>
      </c>
      <c r="M16" s="25" t="s">
        <v>23</v>
      </c>
      <c r="N16" s="16" t="s">
        <v>24</v>
      </c>
      <c r="O16" s="25" t="s">
        <v>27</v>
      </c>
      <c r="P16" s="25" t="s">
        <v>26</v>
      </c>
      <c r="Q16" s="25" t="s">
        <v>25</v>
      </c>
      <c r="R16" s="25" t="s">
        <v>25</v>
      </c>
      <c r="S16" s="25" t="s">
        <v>22</v>
      </c>
      <c r="T16" s="25" t="s">
        <v>25</v>
      </c>
      <c r="U16" s="16" t="s">
        <v>24</v>
      </c>
      <c r="V16" s="25" t="s">
        <v>27</v>
      </c>
      <c r="W16" s="25" t="s">
        <v>26</v>
      </c>
      <c r="X16" s="25" t="s">
        <v>25</v>
      </c>
      <c r="Y16" s="25" t="s">
        <v>26</v>
      </c>
      <c r="Z16" s="25" t="s">
        <v>26</v>
      </c>
      <c r="AA16" s="25" t="s">
        <v>25</v>
      </c>
      <c r="AB16" s="16" t="s">
        <v>24</v>
      </c>
      <c r="AC16" s="25" t="s">
        <v>27</v>
      </c>
      <c r="AD16" s="25" t="s">
        <v>28</v>
      </c>
      <c r="AE16" s="25" t="s">
        <v>26</v>
      </c>
      <c r="AF16" s="25" t="s">
        <v>24</v>
      </c>
      <c r="AG16" s="16" t="s">
        <v>24</v>
      </c>
      <c r="AH16" s="25" t="s">
        <v>28</v>
      </c>
      <c r="AI16" s="25" t="s">
        <v>24</v>
      </c>
      <c r="AJ16" s="25" t="s">
        <v>28</v>
      </c>
      <c r="AK16" s="25" t="s">
        <v>28</v>
      </c>
      <c r="AL16" s="16" t="s">
        <v>24</v>
      </c>
      <c r="AM16" s="25" t="s">
        <v>25</v>
      </c>
      <c r="AN16" s="25" t="s">
        <v>24</v>
      </c>
      <c r="AO16" s="25" t="s">
        <v>25</v>
      </c>
      <c r="AP16" s="25" t="s">
        <v>24</v>
      </c>
    </row>
    <row r="17" spans="1:42" x14ac:dyDescent="0.25">
      <c r="A17">
        <v>29</v>
      </c>
      <c r="B17" s="24">
        <v>47</v>
      </c>
      <c r="C17" s="24">
        <v>4</v>
      </c>
      <c r="D17" s="24" t="s">
        <v>28</v>
      </c>
      <c r="E17" s="24" t="s">
        <v>23</v>
      </c>
      <c r="F17" s="24" t="s">
        <v>23</v>
      </c>
      <c r="G17" s="16" t="s">
        <v>24</v>
      </c>
      <c r="H17" s="25" t="s">
        <v>23</v>
      </c>
      <c r="I17" s="25" t="s">
        <v>27</v>
      </c>
      <c r="J17" s="25" t="s">
        <v>25</v>
      </c>
      <c r="K17" s="25" t="s">
        <v>24</v>
      </c>
      <c r="L17" s="25" t="s">
        <v>24</v>
      </c>
      <c r="M17" s="25" t="s">
        <v>23</v>
      </c>
      <c r="N17" s="16" t="s">
        <v>24</v>
      </c>
      <c r="O17" s="25" t="s">
        <v>23</v>
      </c>
      <c r="P17" s="25" t="s">
        <v>27</v>
      </c>
      <c r="Q17" s="25" t="s">
        <v>26</v>
      </c>
      <c r="R17" s="25" t="s">
        <v>25</v>
      </c>
      <c r="S17" s="25" t="s">
        <v>26</v>
      </c>
      <c r="T17" s="25" t="s">
        <v>25</v>
      </c>
      <c r="U17" s="16" t="s">
        <v>24</v>
      </c>
      <c r="V17" s="25" t="s">
        <v>27</v>
      </c>
      <c r="W17" s="25" t="s">
        <v>27</v>
      </c>
      <c r="X17" s="25" t="s">
        <v>25</v>
      </c>
      <c r="Y17" s="25" t="s">
        <v>26</v>
      </c>
      <c r="Z17" s="25" t="s">
        <v>26</v>
      </c>
      <c r="AA17" s="25" t="s">
        <v>25</v>
      </c>
      <c r="AB17" s="16" t="s">
        <v>24</v>
      </c>
      <c r="AC17" s="25" t="s">
        <v>28</v>
      </c>
      <c r="AD17" s="25" t="s">
        <v>24</v>
      </c>
      <c r="AE17" s="25" t="s">
        <v>28</v>
      </c>
      <c r="AF17" s="25" t="s">
        <v>24</v>
      </c>
      <c r="AG17" s="16" t="s">
        <v>24</v>
      </c>
      <c r="AH17" s="25" t="s">
        <v>28</v>
      </c>
      <c r="AI17" s="25" t="s">
        <v>24</v>
      </c>
      <c r="AJ17" s="25" t="s">
        <v>28</v>
      </c>
      <c r="AK17" s="25" t="s">
        <v>28</v>
      </c>
      <c r="AL17" s="16" t="s">
        <v>24</v>
      </c>
      <c r="AM17" s="25" t="s">
        <v>28</v>
      </c>
      <c r="AN17" s="25" t="s">
        <v>24</v>
      </c>
      <c r="AO17" s="25" t="s">
        <v>28</v>
      </c>
      <c r="AP17" s="25" t="s">
        <v>24</v>
      </c>
    </row>
    <row r="18" spans="1:42" x14ac:dyDescent="0.25">
      <c r="A18">
        <v>31</v>
      </c>
      <c r="B18" s="24">
        <v>25</v>
      </c>
      <c r="C18" s="24">
        <v>5</v>
      </c>
      <c r="D18" s="24" t="s">
        <v>22</v>
      </c>
      <c r="E18" s="24" t="s">
        <v>27</v>
      </c>
      <c r="F18" s="24" t="s">
        <v>23</v>
      </c>
      <c r="G18" s="16" t="s">
        <v>24</v>
      </c>
      <c r="H18" s="25" t="s">
        <v>23</v>
      </c>
      <c r="I18" s="25" t="s">
        <v>27</v>
      </c>
      <c r="J18" s="25" t="s">
        <v>25</v>
      </c>
      <c r="K18" s="25" t="s">
        <v>24</v>
      </c>
      <c r="L18" s="25" t="s">
        <v>24</v>
      </c>
      <c r="M18" s="25" t="s">
        <v>23</v>
      </c>
      <c r="N18" s="16" t="s">
        <v>24</v>
      </c>
      <c r="O18" s="25" t="s">
        <v>24</v>
      </c>
      <c r="P18" s="25" t="s">
        <v>27</v>
      </c>
      <c r="Q18" s="25" t="s">
        <v>25</v>
      </c>
      <c r="R18" s="25" t="s">
        <v>25</v>
      </c>
      <c r="S18" s="25" t="s">
        <v>26</v>
      </c>
      <c r="T18" s="25" t="s">
        <v>25</v>
      </c>
      <c r="U18" s="16" t="s">
        <v>24</v>
      </c>
      <c r="V18" s="25" t="s">
        <v>24</v>
      </c>
      <c r="W18" s="25" t="s">
        <v>26</v>
      </c>
      <c r="X18" s="25" t="s">
        <v>25</v>
      </c>
      <c r="Y18" s="25" t="s">
        <v>26</v>
      </c>
      <c r="Z18" s="25" t="s">
        <v>26</v>
      </c>
      <c r="AA18" s="25" t="s">
        <v>25</v>
      </c>
      <c r="AB18" s="16" t="s">
        <v>24</v>
      </c>
      <c r="AC18" s="25" t="s">
        <v>28</v>
      </c>
      <c r="AD18" s="25" t="s">
        <v>24</v>
      </c>
      <c r="AE18" s="25" t="s">
        <v>22</v>
      </c>
      <c r="AF18" s="25" t="s">
        <v>28</v>
      </c>
      <c r="AG18" s="16" t="s">
        <v>24</v>
      </c>
      <c r="AH18" s="25" t="s">
        <v>22</v>
      </c>
      <c r="AI18" s="25" t="s">
        <v>26</v>
      </c>
      <c r="AJ18" s="25" t="s">
        <v>26</v>
      </c>
      <c r="AK18" s="25" t="s">
        <v>28</v>
      </c>
      <c r="AL18" s="16" t="s">
        <v>24</v>
      </c>
      <c r="AM18" s="25" t="s">
        <v>28</v>
      </c>
      <c r="AN18" s="25" t="s">
        <v>24</v>
      </c>
      <c r="AO18" s="25" t="s">
        <v>28</v>
      </c>
      <c r="AP18" s="25" t="s">
        <v>28</v>
      </c>
    </row>
    <row r="19" spans="1:42" x14ac:dyDescent="0.25">
      <c r="A19">
        <v>32</v>
      </c>
      <c r="B19" s="24">
        <v>22</v>
      </c>
      <c r="C19" s="24">
        <v>5</v>
      </c>
      <c r="D19" s="24" t="s">
        <v>22</v>
      </c>
      <c r="E19" s="24" t="s">
        <v>27</v>
      </c>
      <c r="F19" s="24" t="s">
        <v>23</v>
      </c>
      <c r="G19" s="16" t="s">
        <v>24</v>
      </c>
      <c r="H19" s="25" t="s">
        <v>26</v>
      </c>
      <c r="I19" s="25" t="s">
        <v>25</v>
      </c>
      <c r="J19" s="25" t="s">
        <v>27</v>
      </c>
      <c r="K19" s="25" t="s">
        <v>24</v>
      </c>
      <c r="L19" s="25" t="s">
        <v>26</v>
      </c>
      <c r="M19" s="25" t="s">
        <v>23</v>
      </c>
      <c r="N19" s="16" t="s">
        <v>24</v>
      </c>
      <c r="O19" s="25" t="s">
        <v>27</v>
      </c>
      <c r="P19" s="25" t="s">
        <v>23</v>
      </c>
      <c r="Q19" s="25" t="s">
        <v>25</v>
      </c>
      <c r="R19" s="25" t="s">
        <v>25</v>
      </c>
      <c r="S19" s="25" t="s">
        <v>25</v>
      </c>
      <c r="T19" s="25" t="s">
        <v>25</v>
      </c>
      <c r="U19" s="16" t="s">
        <v>24</v>
      </c>
      <c r="V19" s="25" t="s">
        <v>27</v>
      </c>
      <c r="W19" s="25" t="s">
        <v>26</v>
      </c>
      <c r="X19" s="25" t="s">
        <v>25</v>
      </c>
      <c r="Y19" s="25" t="s">
        <v>26</v>
      </c>
      <c r="Z19" s="25" t="s">
        <v>22</v>
      </c>
      <c r="AA19" s="25" t="s">
        <v>25</v>
      </c>
      <c r="AB19" s="16" t="s">
        <v>24</v>
      </c>
      <c r="AC19" s="25" t="s">
        <v>28</v>
      </c>
      <c r="AD19" s="25" t="s">
        <v>24</v>
      </c>
      <c r="AE19" s="25" t="s">
        <v>22</v>
      </c>
      <c r="AF19" s="25" t="s">
        <v>28</v>
      </c>
      <c r="AG19" s="16" t="s">
        <v>24</v>
      </c>
      <c r="AH19" s="25" t="s">
        <v>28</v>
      </c>
      <c r="AI19" s="25" t="s">
        <v>23</v>
      </c>
      <c r="AJ19" s="25" t="s">
        <v>25</v>
      </c>
      <c r="AK19" s="25" t="s">
        <v>22</v>
      </c>
      <c r="AL19" s="16" t="s">
        <v>24</v>
      </c>
      <c r="AM19" s="25" t="s">
        <v>28</v>
      </c>
      <c r="AN19" s="25" t="s">
        <v>24</v>
      </c>
      <c r="AO19" s="25" t="s">
        <v>28</v>
      </c>
      <c r="AP19" s="25" t="s">
        <v>28</v>
      </c>
    </row>
    <row r="20" spans="1:42" x14ac:dyDescent="0.25">
      <c r="A20">
        <v>36</v>
      </c>
      <c r="B20" s="24">
        <v>24</v>
      </c>
      <c r="C20" s="24">
        <v>5</v>
      </c>
      <c r="D20" s="24" t="s">
        <v>22</v>
      </c>
      <c r="E20" s="24" t="s">
        <v>26</v>
      </c>
      <c r="F20" s="24" t="s">
        <v>23</v>
      </c>
      <c r="G20" s="16" t="s">
        <v>24</v>
      </c>
      <c r="H20" s="25" t="s">
        <v>27</v>
      </c>
      <c r="I20" s="25" t="s">
        <v>26</v>
      </c>
      <c r="J20" s="25" t="s">
        <v>25</v>
      </c>
      <c r="K20" s="25" t="s">
        <v>24</v>
      </c>
      <c r="L20" s="25" t="s">
        <v>24</v>
      </c>
      <c r="M20" s="25" t="s">
        <v>23</v>
      </c>
      <c r="N20" s="16" t="s">
        <v>24</v>
      </c>
      <c r="O20" s="25" t="s">
        <v>23</v>
      </c>
      <c r="P20" s="25" t="s">
        <v>26</v>
      </c>
      <c r="Q20" s="25" t="s">
        <v>25</v>
      </c>
      <c r="R20" s="25" t="s">
        <v>25</v>
      </c>
      <c r="S20" s="25" t="s">
        <v>26</v>
      </c>
      <c r="T20" s="25" t="s">
        <v>22</v>
      </c>
      <c r="U20" s="16" t="s">
        <v>24</v>
      </c>
      <c r="V20" s="25" t="s">
        <v>27</v>
      </c>
      <c r="W20" s="25" t="s">
        <v>26</v>
      </c>
      <c r="X20" s="25" t="s">
        <v>25</v>
      </c>
      <c r="Y20" s="25" t="s">
        <v>26</v>
      </c>
      <c r="Z20" s="25" t="s">
        <v>26</v>
      </c>
      <c r="AA20" s="25" t="s">
        <v>22</v>
      </c>
      <c r="AB20" s="16" t="s">
        <v>24</v>
      </c>
      <c r="AC20" s="25" t="s">
        <v>22</v>
      </c>
      <c r="AD20" s="25" t="s">
        <v>28</v>
      </c>
      <c r="AE20" s="25" t="s">
        <v>23</v>
      </c>
      <c r="AF20" s="25" t="s">
        <v>28</v>
      </c>
      <c r="AG20" s="16" t="s">
        <v>24</v>
      </c>
      <c r="AH20" s="25" t="s">
        <v>28</v>
      </c>
      <c r="AI20" s="25" t="s">
        <v>24</v>
      </c>
      <c r="AJ20" s="25" t="s">
        <v>28</v>
      </c>
      <c r="AK20" s="25" t="s">
        <v>28</v>
      </c>
      <c r="AL20" s="16" t="s">
        <v>24</v>
      </c>
      <c r="AM20" s="25" t="s">
        <v>22</v>
      </c>
      <c r="AN20" s="25" t="s">
        <v>23</v>
      </c>
      <c r="AO20" s="25" t="s">
        <v>25</v>
      </c>
      <c r="AP20" s="25" t="s">
        <v>28</v>
      </c>
    </row>
    <row r="21" spans="1:42" x14ac:dyDescent="0.25">
      <c r="A21">
        <v>37</v>
      </c>
      <c r="B21" s="24">
        <v>27</v>
      </c>
      <c r="C21" s="24">
        <v>5</v>
      </c>
      <c r="D21" s="24" t="s">
        <v>28</v>
      </c>
      <c r="E21" s="24" t="s">
        <v>23</v>
      </c>
      <c r="F21" s="24" t="s">
        <v>24</v>
      </c>
      <c r="G21" s="16" t="s">
        <v>24</v>
      </c>
      <c r="H21" s="25" t="s">
        <v>23</v>
      </c>
      <c r="I21" s="25" t="s">
        <v>26</v>
      </c>
      <c r="J21" s="25" t="s">
        <v>25</v>
      </c>
      <c r="K21" s="25" t="s">
        <v>24</v>
      </c>
      <c r="L21" s="25" t="s">
        <v>24</v>
      </c>
      <c r="M21" s="25" t="s">
        <v>23</v>
      </c>
      <c r="N21" s="16" t="s">
        <v>24</v>
      </c>
      <c r="O21" s="25" t="s">
        <v>23</v>
      </c>
      <c r="P21" s="25" t="s">
        <v>26</v>
      </c>
      <c r="Q21" s="25" t="s">
        <v>25</v>
      </c>
      <c r="R21" s="25" t="s">
        <v>25</v>
      </c>
      <c r="S21" s="25" t="s">
        <v>25</v>
      </c>
      <c r="T21" s="25" t="s">
        <v>25</v>
      </c>
      <c r="U21" s="16" t="s">
        <v>24</v>
      </c>
      <c r="V21" s="25" t="s">
        <v>23</v>
      </c>
      <c r="W21" s="25" t="s">
        <v>26</v>
      </c>
      <c r="X21" s="25" t="s">
        <v>25</v>
      </c>
      <c r="Y21" s="25" t="s">
        <v>26</v>
      </c>
      <c r="Z21" s="25" t="s">
        <v>26</v>
      </c>
      <c r="AA21" s="25" t="s">
        <v>25</v>
      </c>
      <c r="AB21" s="16" t="s">
        <v>24</v>
      </c>
      <c r="AC21" s="25" t="s">
        <v>28</v>
      </c>
      <c r="AD21" s="25" t="s">
        <v>28</v>
      </c>
      <c r="AE21" s="25" t="s">
        <v>22</v>
      </c>
      <c r="AF21" s="25" t="s">
        <v>28</v>
      </c>
      <c r="AG21" s="16" t="s">
        <v>24</v>
      </c>
      <c r="AH21" s="25" t="s">
        <v>28</v>
      </c>
      <c r="AI21" s="25" t="s">
        <v>24</v>
      </c>
      <c r="AJ21" s="25" t="s">
        <v>22</v>
      </c>
      <c r="AK21" s="25" t="s">
        <v>28</v>
      </c>
      <c r="AL21" s="16" t="s">
        <v>24</v>
      </c>
      <c r="AM21" s="25" t="s">
        <v>28</v>
      </c>
      <c r="AN21" s="25" t="s">
        <v>24</v>
      </c>
      <c r="AO21" s="25" t="s">
        <v>22</v>
      </c>
      <c r="AP21" s="25" t="s">
        <v>28</v>
      </c>
    </row>
    <row r="22" spans="1:42" x14ac:dyDescent="0.25">
      <c r="A22">
        <v>38</v>
      </c>
      <c r="B22" s="24">
        <v>26</v>
      </c>
      <c r="C22" s="24">
        <v>1</v>
      </c>
      <c r="D22" s="24" t="s">
        <v>22</v>
      </c>
      <c r="E22" s="24" t="s">
        <v>27</v>
      </c>
      <c r="F22" s="24" t="s">
        <v>27</v>
      </c>
      <c r="G22" s="16" t="s">
        <v>24</v>
      </c>
      <c r="H22" s="25" t="s">
        <v>27</v>
      </c>
      <c r="I22" s="25" t="s">
        <v>26</v>
      </c>
      <c r="J22" s="25" t="s">
        <v>25</v>
      </c>
      <c r="K22" s="25" t="s">
        <v>24</v>
      </c>
      <c r="L22" s="25" t="s">
        <v>24</v>
      </c>
      <c r="M22" s="25" t="s">
        <v>23</v>
      </c>
      <c r="N22" s="16" t="s">
        <v>24</v>
      </c>
      <c r="O22" s="25" t="s">
        <v>26</v>
      </c>
      <c r="P22" s="25" t="s">
        <v>27</v>
      </c>
      <c r="Q22" s="25" t="s">
        <v>25</v>
      </c>
      <c r="R22" s="25" t="s">
        <v>25</v>
      </c>
      <c r="S22" s="25" t="s">
        <v>26</v>
      </c>
      <c r="T22" s="25" t="s">
        <v>25</v>
      </c>
      <c r="U22" s="16" t="s">
        <v>24</v>
      </c>
      <c r="V22" s="25" t="s">
        <v>26</v>
      </c>
      <c r="W22" s="25" t="s">
        <v>27</v>
      </c>
      <c r="X22" s="25" t="s">
        <v>25</v>
      </c>
      <c r="Y22" s="25" t="s">
        <v>26</v>
      </c>
      <c r="Z22" s="25" t="s">
        <v>26</v>
      </c>
      <c r="AA22" s="25" t="s">
        <v>25</v>
      </c>
      <c r="AB22" s="16" t="s">
        <v>24</v>
      </c>
      <c r="AC22" s="25" t="s">
        <v>27</v>
      </c>
      <c r="AD22" s="25" t="s">
        <v>22</v>
      </c>
      <c r="AE22" s="25" t="s">
        <v>23</v>
      </c>
      <c r="AF22" s="25" t="s">
        <v>25</v>
      </c>
      <c r="AG22" s="16" t="s">
        <v>24</v>
      </c>
      <c r="AH22" s="25" t="s">
        <v>22</v>
      </c>
      <c r="AI22" s="25" t="s">
        <v>25</v>
      </c>
      <c r="AJ22" s="25" t="s">
        <v>27</v>
      </c>
      <c r="AK22" s="25" t="s">
        <v>24</v>
      </c>
      <c r="AL22" s="16" t="s">
        <v>24</v>
      </c>
      <c r="AM22" s="25" t="s">
        <v>28</v>
      </c>
      <c r="AN22" s="25" t="s">
        <v>24</v>
      </c>
      <c r="AO22" s="25" t="s">
        <v>25</v>
      </c>
      <c r="AP22" s="25" t="s">
        <v>24</v>
      </c>
    </row>
    <row r="23" spans="1:42" ht="15.75" thickBot="1" x14ac:dyDescent="0.3">
      <c r="A23">
        <v>39</v>
      </c>
      <c r="B23" s="27">
        <v>25</v>
      </c>
      <c r="C23" s="27">
        <v>5</v>
      </c>
      <c r="D23" s="27" t="s">
        <v>22</v>
      </c>
      <c r="E23" s="27" t="s">
        <v>23</v>
      </c>
      <c r="F23" s="27" t="s">
        <v>23</v>
      </c>
      <c r="G23" s="16" t="s">
        <v>24</v>
      </c>
      <c r="H23" s="28" t="s">
        <v>23</v>
      </c>
      <c r="I23" s="28" t="s">
        <v>25</v>
      </c>
      <c r="J23" s="28" t="s">
        <v>25</v>
      </c>
      <c r="K23" s="28" t="s">
        <v>26</v>
      </c>
      <c r="L23" s="28" t="s">
        <v>24</v>
      </c>
      <c r="M23" s="28" t="s">
        <v>23</v>
      </c>
      <c r="N23" s="16" t="s">
        <v>24</v>
      </c>
      <c r="O23" s="28" t="s">
        <v>27</v>
      </c>
      <c r="P23" s="28" t="s">
        <v>26</v>
      </c>
      <c r="Q23" s="28" t="s">
        <v>25</v>
      </c>
      <c r="R23" s="28" t="s">
        <v>27</v>
      </c>
      <c r="S23" s="28" t="s">
        <v>27</v>
      </c>
      <c r="T23" s="28" t="s">
        <v>26</v>
      </c>
      <c r="U23" s="16" t="s">
        <v>24</v>
      </c>
      <c r="V23" s="28" t="s">
        <v>22</v>
      </c>
      <c r="W23" s="28" t="s">
        <v>22</v>
      </c>
      <c r="X23" s="28" t="s">
        <v>25</v>
      </c>
      <c r="Y23" s="28" t="s">
        <v>26</v>
      </c>
      <c r="Z23" s="28" t="s">
        <v>22</v>
      </c>
      <c r="AA23" s="28" t="s">
        <v>25</v>
      </c>
      <c r="AB23" s="16" t="s">
        <v>24</v>
      </c>
      <c r="AC23" s="28" t="s">
        <v>22</v>
      </c>
      <c r="AD23" s="28" t="s">
        <v>26</v>
      </c>
      <c r="AE23" s="28" t="s">
        <v>25</v>
      </c>
      <c r="AF23" s="28" t="s">
        <v>28</v>
      </c>
      <c r="AG23" s="16" t="s">
        <v>24</v>
      </c>
      <c r="AH23" s="28" t="s">
        <v>25</v>
      </c>
      <c r="AI23" s="28" t="s">
        <v>23</v>
      </c>
      <c r="AJ23" s="28" t="s">
        <v>25</v>
      </c>
      <c r="AK23" s="28" t="s">
        <v>28</v>
      </c>
      <c r="AL23" s="16" t="s">
        <v>24</v>
      </c>
      <c r="AM23" s="28" t="s">
        <v>22</v>
      </c>
      <c r="AN23" s="28" t="s">
        <v>24</v>
      </c>
      <c r="AO23" s="28" t="s">
        <v>22</v>
      </c>
      <c r="AP23" s="28" t="s">
        <v>28</v>
      </c>
    </row>
    <row r="24" spans="1:42" x14ac:dyDescent="0.25">
      <c r="A24" s="1" t="s">
        <v>36</v>
      </c>
      <c r="B24" s="2">
        <f>AVERAGE(B3:B23)</f>
        <v>27.80952380952381</v>
      </c>
      <c r="C24" s="2">
        <f t="shared" ref="C24" si="0">AVERAGE(C3:C23)</f>
        <v>3.5714285714285716</v>
      </c>
      <c r="D24" s="2">
        <f>VALUE(MID(D3,2,99))</f>
        <v>6</v>
      </c>
      <c r="E24" s="2">
        <f t="shared" ref="E24:AP24" si="1">VALUE(MID(E3,2,99))</f>
        <v>2</v>
      </c>
      <c r="F24" s="2">
        <f t="shared" si="1"/>
        <v>1</v>
      </c>
      <c r="G24" s="3">
        <f t="shared" si="1"/>
        <v>1</v>
      </c>
      <c r="H24" s="23">
        <f t="shared" si="1"/>
        <v>5</v>
      </c>
      <c r="I24" s="23">
        <f t="shared" si="1"/>
        <v>4</v>
      </c>
      <c r="J24" s="23">
        <f t="shared" si="1"/>
        <v>5</v>
      </c>
      <c r="K24" s="23">
        <f t="shared" si="1"/>
        <v>1</v>
      </c>
      <c r="L24" s="23">
        <f t="shared" si="1"/>
        <v>4</v>
      </c>
      <c r="M24" s="23">
        <f t="shared" si="1"/>
        <v>2</v>
      </c>
      <c r="N24" s="3">
        <f t="shared" si="1"/>
        <v>1</v>
      </c>
      <c r="O24" s="2">
        <f>VALUE(MID(O3,2,99))</f>
        <v>3</v>
      </c>
      <c r="P24" s="2">
        <f>VALUE(MID(P3,2,99))</f>
        <v>4</v>
      </c>
      <c r="Q24" s="2">
        <f t="shared" si="1"/>
        <v>5</v>
      </c>
      <c r="R24" s="2">
        <f t="shared" si="1"/>
        <v>5</v>
      </c>
      <c r="S24" s="2">
        <f t="shared" si="1"/>
        <v>4</v>
      </c>
      <c r="T24" s="2">
        <f t="shared" si="1"/>
        <v>4</v>
      </c>
      <c r="U24" s="3">
        <f t="shared" si="1"/>
        <v>1</v>
      </c>
      <c r="V24" s="2">
        <f t="shared" si="1"/>
        <v>1</v>
      </c>
      <c r="W24" s="2">
        <f t="shared" si="1"/>
        <v>3</v>
      </c>
      <c r="X24" s="2">
        <f t="shared" si="1"/>
        <v>4</v>
      </c>
      <c r="Y24" s="2">
        <f t="shared" si="1"/>
        <v>4</v>
      </c>
      <c r="Z24" s="2">
        <f t="shared" si="1"/>
        <v>4</v>
      </c>
      <c r="AA24" s="2">
        <f t="shared" si="1"/>
        <v>5</v>
      </c>
      <c r="AB24" s="3">
        <f t="shared" si="1"/>
        <v>1</v>
      </c>
      <c r="AC24" s="2">
        <f t="shared" si="1"/>
        <v>3</v>
      </c>
      <c r="AD24" s="2">
        <f t="shared" si="1"/>
        <v>5</v>
      </c>
      <c r="AE24" s="2">
        <f t="shared" si="1"/>
        <v>2</v>
      </c>
      <c r="AF24" s="2">
        <f t="shared" si="1"/>
        <v>6</v>
      </c>
      <c r="AG24" s="3">
        <f t="shared" si="1"/>
        <v>1</v>
      </c>
      <c r="AH24" s="2">
        <f t="shared" si="1"/>
        <v>5</v>
      </c>
      <c r="AI24" s="2">
        <f t="shared" si="1"/>
        <v>3</v>
      </c>
      <c r="AJ24" s="2">
        <f t="shared" si="1"/>
        <v>4</v>
      </c>
      <c r="AK24" s="2">
        <f t="shared" si="1"/>
        <v>7</v>
      </c>
      <c r="AL24" s="3">
        <f t="shared" si="1"/>
        <v>1</v>
      </c>
      <c r="AM24" s="2">
        <f t="shared" si="1"/>
        <v>5</v>
      </c>
      <c r="AN24" s="2">
        <f t="shared" si="1"/>
        <v>5</v>
      </c>
      <c r="AO24" s="2">
        <f t="shared" si="1"/>
        <v>5</v>
      </c>
      <c r="AP24" s="4">
        <f t="shared" si="1"/>
        <v>4</v>
      </c>
    </row>
    <row r="25" spans="1:42" ht="15.75" thickBot="1" x14ac:dyDescent="0.3">
      <c r="A25" s="5" t="s">
        <v>37</v>
      </c>
      <c r="B25" s="6"/>
      <c r="C25" s="6"/>
      <c r="D25" s="6"/>
      <c r="E25" s="6"/>
      <c r="F25" s="6"/>
      <c r="G25" s="7"/>
      <c r="H25" s="6" t="s">
        <v>38</v>
      </c>
      <c r="I25" s="6" t="s">
        <v>39</v>
      </c>
      <c r="J25" s="6" t="s">
        <v>40</v>
      </c>
      <c r="K25" s="6" t="s">
        <v>41</v>
      </c>
      <c r="L25" s="6" t="s">
        <v>42</v>
      </c>
      <c r="M25" s="6" t="s">
        <v>43</v>
      </c>
      <c r="N25" s="7"/>
      <c r="O25" s="6" t="s">
        <v>44</v>
      </c>
      <c r="P25" s="6" t="s">
        <v>39</v>
      </c>
      <c r="Q25" s="6" t="s">
        <v>40</v>
      </c>
      <c r="R25" s="6" t="s">
        <v>45</v>
      </c>
      <c r="S25" s="6" t="s">
        <v>46</v>
      </c>
      <c r="T25" s="6" t="s">
        <v>47</v>
      </c>
      <c r="U25" s="7"/>
      <c r="V25" s="6" t="s">
        <v>48</v>
      </c>
      <c r="W25" s="6" t="s">
        <v>44</v>
      </c>
      <c r="X25" s="6" t="s">
        <v>49</v>
      </c>
      <c r="Y25" s="6" t="s">
        <v>50</v>
      </c>
      <c r="Z25" s="6" t="s">
        <v>51</v>
      </c>
      <c r="AA25" s="6" t="s">
        <v>52</v>
      </c>
      <c r="AB25" s="7"/>
      <c r="AC25" s="6"/>
      <c r="AD25" s="6"/>
      <c r="AE25" s="6"/>
      <c r="AF25" s="6"/>
      <c r="AG25" s="7"/>
      <c r="AH25" s="6"/>
      <c r="AI25" s="6"/>
      <c r="AJ25" s="6"/>
      <c r="AK25" s="6"/>
      <c r="AL25" s="7"/>
      <c r="AM25" s="6"/>
      <c r="AN25" s="6"/>
      <c r="AO25" s="6"/>
      <c r="AP25" s="8"/>
    </row>
    <row r="26" spans="1:42" x14ac:dyDescent="0.25">
      <c r="A26" s="9" t="s">
        <v>53</v>
      </c>
      <c r="B26" s="10"/>
      <c r="C26" s="10"/>
      <c r="D26" s="10"/>
      <c r="E26" s="10"/>
      <c r="F26" s="10"/>
      <c r="G26" s="3"/>
      <c r="H26" s="10" t="s">
        <v>25</v>
      </c>
      <c r="I26" s="10" t="s">
        <v>27</v>
      </c>
      <c r="J26" s="10" t="s">
        <v>25</v>
      </c>
      <c r="K26" s="10" t="s">
        <v>24</v>
      </c>
      <c r="L26" s="10" t="s">
        <v>24</v>
      </c>
      <c r="M26" s="10" t="s">
        <v>26</v>
      </c>
      <c r="N26" s="3"/>
      <c r="O26" s="10" t="s">
        <v>23</v>
      </c>
      <c r="P26" s="10" t="s">
        <v>27</v>
      </c>
      <c r="Q26" s="10" t="s">
        <v>25</v>
      </c>
      <c r="R26" s="10" t="s">
        <v>25</v>
      </c>
      <c r="S26" s="10" t="s">
        <v>25</v>
      </c>
      <c r="T26" s="10" t="s">
        <v>22</v>
      </c>
      <c r="U26" s="3"/>
      <c r="V26" s="10" t="s">
        <v>23</v>
      </c>
      <c r="W26" s="10" t="s">
        <v>27</v>
      </c>
      <c r="X26" s="10" t="s">
        <v>25</v>
      </c>
      <c r="Y26" s="10" t="s">
        <v>26</v>
      </c>
      <c r="Z26" s="10" t="s">
        <v>26</v>
      </c>
      <c r="AA26" s="10" t="s">
        <v>22</v>
      </c>
      <c r="AB26" s="3"/>
      <c r="AC26" s="10"/>
      <c r="AD26" s="10"/>
      <c r="AE26" s="10"/>
      <c r="AF26" s="10"/>
      <c r="AG26" s="3"/>
      <c r="AH26" s="10"/>
      <c r="AI26" s="10"/>
      <c r="AJ26" s="10"/>
      <c r="AK26" s="10"/>
      <c r="AL26" s="3"/>
      <c r="AM26" s="10"/>
      <c r="AN26" s="10"/>
      <c r="AO26" s="10"/>
      <c r="AP26" s="11"/>
    </row>
    <row r="27" spans="1:42" ht="15.75" thickBot="1" x14ac:dyDescent="0.3">
      <c r="A27" s="12" t="s">
        <v>54</v>
      </c>
      <c r="B27" s="13"/>
      <c r="C27" s="13"/>
      <c r="D27" s="13"/>
      <c r="E27" s="13"/>
      <c r="F27" s="13"/>
      <c r="G27" s="14"/>
      <c r="H27" s="13" t="s">
        <v>38</v>
      </c>
      <c r="I27" s="13" t="s">
        <v>55</v>
      </c>
      <c r="J27" s="13" t="s">
        <v>40</v>
      </c>
      <c r="K27" s="13" t="s">
        <v>41</v>
      </c>
      <c r="L27" s="13" t="s">
        <v>56</v>
      </c>
      <c r="M27" s="13" t="s">
        <v>42</v>
      </c>
      <c r="N27" s="14"/>
      <c r="O27" s="13" t="s">
        <v>57</v>
      </c>
      <c r="P27" s="13" t="s">
        <v>58</v>
      </c>
      <c r="Q27" s="13" t="s">
        <v>59</v>
      </c>
      <c r="R27" s="13" t="s">
        <v>60</v>
      </c>
      <c r="S27" s="13" t="s">
        <v>61</v>
      </c>
      <c r="T27" s="13" t="s">
        <v>62</v>
      </c>
      <c r="U27" s="14"/>
      <c r="V27" s="13" t="s">
        <v>57</v>
      </c>
      <c r="W27" s="13" t="s">
        <v>58</v>
      </c>
      <c r="X27" s="13" t="s">
        <v>59</v>
      </c>
      <c r="Y27" s="13" t="s">
        <v>63</v>
      </c>
      <c r="Z27" s="13" t="s">
        <v>64</v>
      </c>
      <c r="AA27" s="13" t="s">
        <v>62</v>
      </c>
      <c r="AB27" s="14"/>
      <c r="AC27" s="13"/>
      <c r="AD27" s="13"/>
      <c r="AE27" s="13"/>
      <c r="AF27" s="13"/>
      <c r="AG27" s="14"/>
      <c r="AH27" s="13"/>
      <c r="AI27" s="13"/>
      <c r="AJ27" s="13"/>
      <c r="AK27" s="13"/>
      <c r="AL27" s="14"/>
      <c r="AM27" s="13"/>
      <c r="AN27" s="13"/>
      <c r="AO27" s="13"/>
      <c r="AP27" s="15"/>
    </row>
    <row r="28" spans="1:42" x14ac:dyDescent="0.25">
      <c r="A28" t="s">
        <v>24</v>
      </c>
      <c r="H28" s="32">
        <f>COUNTIF(H$3:H$23,"A001")/21</f>
        <v>9.5238095238095233E-2</v>
      </c>
      <c r="I28" s="32">
        <f t="shared" ref="I28:AB28" si="2">COUNTIF(I$3:I$23,"A001")/21</f>
        <v>4.7619047619047616E-2</v>
      </c>
      <c r="J28" s="32">
        <f t="shared" si="2"/>
        <v>0</v>
      </c>
      <c r="K28" s="32">
        <f t="shared" si="2"/>
        <v>0.95238095238095233</v>
      </c>
      <c r="L28" s="32">
        <f t="shared" si="2"/>
        <v>0.7142857142857143</v>
      </c>
      <c r="M28" s="32">
        <f t="shared" si="2"/>
        <v>0</v>
      </c>
      <c r="N28" s="32">
        <f t="shared" si="2"/>
        <v>1</v>
      </c>
      <c r="O28" s="32">
        <f t="shared" si="2"/>
        <v>4.7619047619047616E-2</v>
      </c>
      <c r="P28" s="32">
        <f t="shared" si="2"/>
        <v>0</v>
      </c>
      <c r="Q28" s="32">
        <f t="shared" si="2"/>
        <v>0</v>
      </c>
      <c r="R28" s="32">
        <f t="shared" si="2"/>
        <v>0</v>
      </c>
      <c r="S28" s="32">
        <f t="shared" si="2"/>
        <v>0</v>
      </c>
      <c r="T28" s="32">
        <f t="shared" si="2"/>
        <v>0</v>
      </c>
      <c r="U28" s="32">
        <f t="shared" si="2"/>
        <v>1</v>
      </c>
      <c r="V28" s="32">
        <f t="shared" si="2"/>
        <v>0.14285714285714285</v>
      </c>
      <c r="W28" s="32">
        <f t="shared" si="2"/>
        <v>0</v>
      </c>
      <c r="X28" s="32">
        <f t="shared" si="2"/>
        <v>0</v>
      </c>
      <c r="Y28" s="32">
        <f t="shared" si="2"/>
        <v>0</v>
      </c>
      <c r="Z28" s="32">
        <f t="shared" si="2"/>
        <v>0</v>
      </c>
      <c r="AA28" s="32">
        <f t="shared" si="2"/>
        <v>0</v>
      </c>
      <c r="AB28" s="32">
        <f t="shared" si="2"/>
        <v>1</v>
      </c>
      <c r="AC28" s="32">
        <f>COUNTIF(AC$3:AC$23,"A001")/21</f>
        <v>0</v>
      </c>
      <c r="AD28" s="32">
        <f t="shared" ref="AD28:AP28" si="3">COUNTIF(AD$3:AD$23,"A001")/21</f>
        <v>0.23809523809523808</v>
      </c>
      <c r="AE28" s="32">
        <f t="shared" si="3"/>
        <v>9.5238095238095233E-2</v>
      </c>
      <c r="AF28" s="32">
        <f t="shared" si="3"/>
        <v>0.14285714285714285</v>
      </c>
      <c r="AG28" s="32">
        <f t="shared" si="3"/>
        <v>1</v>
      </c>
      <c r="AH28" s="32">
        <f t="shared" si="3"/>
        <v>0</v>
      </c>
      <c r="AI28" s="32">
        <f t="shared" si="3"/>
        <v>0.42857142857142855</v>
      </c>
      <c r="AJ28" s="32">
        <f t="shared" si="3"/>
        <v>4.7619047619047616E-2</v>
      </c>
      <c r="AK28" s="32">
        <f t="shared" si="3"/>
        <v>9.5238095238095233E-2</v>
      </c>
      <c r="AL28" s="32">
        <f t="shared" si="3"/>
        <v>1</v>
      </c>
      <c r="AM28" s="32">
        <f t="shared" si="3"/>
        <v>0</v>
      </c>
      <c r="AN28" s="32">
        <f t="shared" si="3"/>
        <v>0.66666666666666663</v>
      </c>
      <c r="AO28" s="32">
        <f t="shared" si="3"/>
        <v>0</v>
      </c>
      <c r="AP28" s="32">
        <f t="shared" si="3"/>
        <v>0.19047619047619047</v>
      </c>
    </row>
    <row r="29" spans="1:42" x14ac:dyDescent="0.25">
      <c r="A29" t="s">
        <v>23</v>
      </c>
      <c r="H29" s="32">
        <f>COUNTIF(H$3:H$23,"A002")/21</f>
        <v>0.23809523809523808</v>
      </c>
      <c r="I29" s="32">
        <f t="shared" ref="I29:AB29" si="4">COUNTIF(I$3:I$23,"A002")/21</f>
        <v>0</v>
      </c>
      <c r="J29" s="32">
        <f t="shared" si="4"/>
        <v>0</v>
      </c>
      <c r="K29" s="32">
        <f t="shared" si="4"/>
        <v>0</v>
      </c>
      <c r="L29" s="32">
        <f t="shared" si="4"/>
        <v>4.7619047619047616E-2</v>
      </c>
      <c r="M29" s="32">
        <f t="shared" si="4"/>
        <v>0.90476190476190477</v>
      </c>
      <c r="N29" s="32">
        <f t="shared" si="4"/>
        <v>0</v>
      </c>
      <c r="O29" s="32">
        <f t="shared" si="4"/>
        <v>0.33333333333333331</v>
      </c>
      <c r="P29" s="32">
        <f t="shared" si="4"/>
        <v>9.5238095238095233E-2</v>
      </c>
      <c r="Q29" s="32">
        <f t="shared" si="4"/>
        <v>0</v>
      </c>
      <c r="R29" s="32">
        <f t="shared" si="4"/>
        <v>0</v>
      </c>
      <c r="S29" s="32">
        <f t="shared" si="4"/>
        <v>0</v>
      </c>
      <c r="T29" s="32">
        <f t="shared" si="4"/>
        <v>0</v>
      </c>
      <c r="U29" s="32">
        <f t="shared" si="4"/>
        <v>0</v>
      </c>
      <c r="V29" s="32">
        <f t="shared" si="4"/>
        <v>0.23809523809523808</v>
      </c>
      <c r="W29" s="32">
        <f t="shared" si="4"/>
        <v>0</v>
      </c>
      <c r="X29" s="32">
        <f t="shared" si="4"/>
        <v>0</v>
      </c>
      <c r="Y29" s="32">
        <f t="shared" si="4"/>
        <v>0</v>
      </c>
      <c r="Z29" s="32">
        <f t="shared" si="4"/>
        <v>0</v>
      </c>
      <c r="AA29" s="32">
        <f t="shared" si="4"/>
        <v>0</v>
      </c>
      <c r="AB29" s="32">
        <f t="shared" si="4"/>
        <v>0</v>
      </c>
      <c r="AC29" s="32">
        <f>COUNTIF(AC$3:AC$23,"A002")/21</f>
        <v>4.7619047619047616E-2</v>
      </c>
      <c r="AD29" s="32">
        <f t="shared" ref="AD29:AP29" si="5">COUNTIF(AD$3:AD$23,"A002")/21</f>
        <v>4.7619047619047616E-2</v>
      </c>
      <c r="AE29" s="32">
        <f t="shared" si="5"/>
        <v>0.2857142857142857</v>
      </c>
      <c r="AF29" s="32">
        <f t="shared" si="5"/>
        <v>4.7619047619047616E-2</v>
      </c>
      <c r="AG29" s="32">
        <f t="shared" si="5"/>
        <v>0</v>
      </c>
      <c r="AH29" s="32">
        <f t="shared" si="5"/>
        <v>4.7619047619047616E-2</v>
      </c>
      <c r="AI29" s="32">
        <f t="shared" si="5"/>
        <v>0.19047619047619047</v>
      </c>
      <c r="AJ29" s="32">
        <f t="shared" si="5"/>
        <v>4.7619047619047616E-2</v>
      </c>
      <c r="AK29" s="32">
        <f t="shared" si="5"/>
        <v>9.5238095238095233E-2</v>
      </c>
      <c r="AL29" s="32">
        <f t="shared" si="5"/>
        <v>0</v>
      </c>
      <c r="AM29" s="32">
        <f t="shared" si="5"/>
        <v>0</v>
      </c>
      <c r="AN29" s="32">
        <f t="shared" si="5"/>
        <v>0.14285714285714285</v>
      </c>
      <c r="AO29" s="32">
        <f t="shared" si="5"/>
        <v>4.7619047619047616E-2</v>
      </c>
      <c r="AP29" s="32">
        <f t="shared" si="5"/>
        <v>0</v>
      </c>
    </row>
    <row r="30" spans="1:42" x14ac:dyDescent="0.25">
      <c r="A30" t="s">
        <v>27</v>
      </c>
      <c r="H30" s="32">
        <f>COUNTIF(H$3:H$23,"A003")/21</f>
        <v>0.38095238095238093</v>
      </c>
      <c r="I30" s="32">
        <f t="shared" ref="I30:AB30" si="6">COUNTIF(I$3:I$23,"A003")/21</f>
        <v>0.23809523809523808</v>
      </c>
      <c r="J30" s="32">
        <f t="shared" si="6"/>
        <v>4.7619047619047616E-2</v>
      </c>
      <c r="K30" s="32">
        <f t="shared" si="6"/>
        <v>0</v>
      </c>
      <c r="L30" s="32">
        <f t="shared" si="6"/>
        <v>0</v>
      </c>
      <c r="M30" s="32">
        <f t="shared" si="6"/>
        <v>0</v>
      </c>
      <c r="N30" s="32">
        <f t="shared" si="6"/>
        <v>0</v>
      </c>
      <c r="O30" s="32">
        <f t="shared" si="6"/>
        <v>0.47619047619047616</v>
      </c>
      <c r="P30" s="32">
        <f t="shared" si="6"/>
        <v>0.33333333333333331</v>
      </c>
      <c r="Q30" s="32">
        <f t="shared" si="6"/>
        <v>0</v>
      </c>
      <c r="R30" s="32">
        <f t="shared" si="6"/>
        <v>4.7619047619047616E-2</v>
      </c>
      <c r="S30" s="32">
        <f t="shared" si="6"/>
        <v>4.7619047619047616E-2</v>
      </c>
      <c r="T30" s="32">
        <f t="shared" si="6"/>
        <v>0</v>
      </c>
      <c r="U30" s="32">
        <f t="shared" si="6"/>
        <v>0</v>
      </c>
      <c r="V30" s="32">
        <f t="shared" si="6"/>
        <v>0.42857142857142855</v>
      </c>
      <c r="W30" s="32">
        <f t="shared" si="6"/>
        <v>0.23809523809523808</v>
      </c>
      <c r="X30" s="32">
        <f t="shared" si="6"/>
        <v>0</v>
      </c>
      <c r="Y30" s="32">
        <f t="shared" si="6"/>
        <v>0</v>
      </c>
      <c r="Z30" s="32">
        <f t="shared" si="6"/>
        <v>0</v>
      </c>
      <c r="AA30" s="32">
        <f t="shared" si="6"/>
        <v>0</v>
      </c>
      <c r="AB30" s="32">
        <f t="shared" si="6"/>
        <v>0</v>
      </c>
      <c r="AC30" s="32">
        <f>COUNTIF(AC$3:AC$23,"A003")/21</f>
        <v>0.19047619047619047</v>
      </c>
      <c r="AD30" s="32">
        <f t="shared" ref="AD30:AP30" si="7">COUNTIF(AD$3:AD$23,"A003")/21</f>
        <v>0</v>
      </c>
      <c r="AE30" s="32">
        <f t="shared" si="7"/>
        <v>4.7619047619047616E-2</v>
      </c>
      <c r="AF30" s="32">
        <f t="shared" si="7"/>
        <v>0</v>
      </c>
      <c r="AG30" s="32">
        <f t="shared" si="7"/>
        <v>0</v>
      </c>
      <c r="AH30" s="32">
        <f t="shared" si="7"/>
        <v>0</v>
      </c>
      <c r="AI30" s="32">
        <f t="shared" si="7"/>
        <v>9.5238095238095233E-2</v>
      </c>
      <c r="AJ30" s="32">
        <f t="shared" si="7"/>
        <v>0.14285714285714285</v>
      </c>
      <c r="AK30" s="32">
        <f t="shared" si="7"/>
        <v>4.7619047619047616E-2</v>
      </c>
      <c r="AL30" s="32">
        <f t="shared" si="7"/>
        <v>0</v>
      </c>
      <c r="AM30" s="32">
        <f t="shared" si="7"/>
        <v>0</v>
      </c>
      <c r="AN30" s="32">
        <f t="shared" si="7"/>
        <v>0</v>
      </c>
      <c r="AO30" s="32">
        <f t="shared" si="7"/>
        <v>9.5238095238095233E-2</v>
      </c>
      <c r="AP30" s="32">
        <f t="shared" si="7"/>
        <v>4.7619047619047616E-2</v>
      </c>
    </row>
    <row r="31" spans="1:42" x14ac:dyDescent="0.25">
      <c r="A31" t="s">
        <v>26</v>
      </c>
      <c r="H31" s="32">
        <f>COUNTIF(H$3:H$23,"A004")/21</f>
        <v>0.23809523809523808</v>
      </c>
      <c r="I31" s="32">
        <f t="shared" ref="I31:AB31" si="8">COUNTIF(I$3:I$23,"A004")/21</f>
        <v>0.42857142857142855</v>
      </c>
      <c r="J31" s="32">
        <f t="shared" si="8"/>
        <v>0</v>
      </c>
      <c r="K31" s="32">
        <f t="shared" si="8"/>
        <v>4.7619047619047616E-2</v>
      </c>
      <c r="L31" s="32">
        <f t="shared" si="8"/>
        <v>0.23809523809523808</v>
      </c>
      <c r="M31" s="32">
        <f t="shared" si="8"/>
        <v>9.5238095238095233E-2</v>
      </c>
      <c r="N31" s="32">
        <f t="shared" si="8"/>
        <v>0</v>
      </c>
      <c r="O31" s="32">
        <f t="shared" si="8"/>
        <v>0.14285714285714285</v>
      </c>
      <c r="P31" s="32">
        <f t="shared" si="8"/>
        <v>0.47619047619047616</v>
      </c>
      <c r="Q31" s="32">
        <f t="shared" si="8"/>
        <v>9.5238095238095233E-2</v>
      </c>
      <c r="R31" s="32">
        <f t="shared" si="8"/>
        <v>0</v>
      </c>
      <c r="S31" s="32">
        <f t="shared" si="8"/>
        <v>0.33333333333333331</v>
      </c>
      <c r="T31" s="32">
        <f t="shared" si="8"/>
        <v>9.5238095238095233E-2</v>
      </c>
      <c r="U31" s="32">
        <f t="shared" si="8"/>
        <v>0</v>
      </c>
      <c r="V31" s="32">
        <f t="shared" si="8"/>
        <v>9.5238095238095233E-2</v>
      </c>
      <c r="W31" s="32">
        <f t="shared" si="8"/>
        <v>0.61904761904761907</v>
      </c>
      <c r="X31" s="32">
        <f t="shared" si="8"/>
        <v>9.5238095238095233E-2</v>
      </c>
      <c r="Y31" s="32">
        <f t="shared" si="8"/>
        <v>1</v>
      </c>
      <c r="Z31" s="32">
        <f t="shared" si="8"/>
        <v>0.7142857142857143</v>
      </c>
      <c r="AA31" s="32">
        <f t="shared" si="8"/>
        <v>4.7619047619047616E-2</v>
      </c>
      <c r="AB31" s="32">
        <f t="shared" si="8"/>
        <v>0</v>
      </c>
      <c r="AC31" s="32">
        <f>COUNTIF(AC$3:AC$23,"A004")/21</f>
        <v>4.7619047619047616E-2</v>
      </c>
      <c r="AD31" s="32">
        <f t="shared" ref="AD31:AP31" si="9">COUNTIF(AD$3:AD$23,"A004")/21</f>
        <v>9.5238095238095233E-2</v>
      </c>
      <c r="AE31" s="32">
        <f t="shared" si="9"/>
        <v>0.19047619047619047</v>
      </c>
      <c r="AF31" s="32">
        <f t="shared" si="9"/>
        <v>4.7619047619047616E-2</v>
      </c>
      <c r="AG31" s="32">
        <f t="shared" si="9"/>
        <v>0</v>
      </c>
      <c r="AH31" s="32">
        <f t="shared" si="9"/>
        <v>4.7619047619047616E-2</v>
      </c>
      <c r="AI31" s="32">
        <f t="shared" si="9"/>
        <v>0.19047619047619047</v>
      </c>
      <c r="AJ31" s="32">
        <f t="shared" si="9"/>
        <v>0.23809523809523808</v>
      </c>
      <c r="AK31" s="32">
        <f t="shared" si="9"/>
        <v>0</v>
      </c>
      <c r="AL31" s="32">
        <f t="shared" si="9"/>
        <v>0</v>
      </c>
      <c r="AM31" s="32">
        <f t="shared" si="9"/>
        <v>0</v>
      </c>
      <c r="AN31" s="32">
        <f t="shared" si="9"/>
        <v>4.7619047619047616E-2</v>
      </c>
      <c r="AO31" s="32">
        <f t="shared" si="9"/>
        <v>4.7619047619047616E-2</v>
      </c>
      <c r="AP31" s="32">
        <f t="shared" si="9"/>
        <v>9.5238095238095233E-2</v>
      </c>
    </row>
    <row r="32" spans="1:42" x14ac:dyDescent="0.25">
      <c r="A32" t="s">
        <v>25</v>
      </c>
      <c r="H32" s="32">
        <f>COUNTIF(H$3:H$23,"A005")/21</f>
        <v>4.7619047619047616E-2</v>
      </c>
      <c r="I32" s="32">
        <f t="shared" ref="I32:AB32" si="10">COUNTIF(I$3:I$23,"A005")/21</f>
        <v>0.2857142857142857</v>
      </c>
      <c r="J32" s="32">
        <f t="shared" si="10"/>
        <v>0.95238095238095233</v>
      </c>
      <c r="K32" s="32">
        <f t="shared" si="10"/>
        <v>0</v>
      </c>
      <c r="L32" s="32">
        <f t="shared" si="10"/>
        <v>0</v>
      </c>
      <c r="M32" s="32">
        <f t="shared" si="10"/>
        <v>0</v>
      </c>
      <c r="N32" s="32">
        <f t="shared" si="10"/>
        <v>0</v>
      </c>
      <c r="O32" s="32">
        <f t="shared" si="10"/>
        <v>0</v>
      </c>
      <c r="P32" s="32">
        <f t="shared" si="10"/>
        <v>9.5238095238095233E-2</v>
      </c>
      <c r="Q32" s="32">
        <f t="shared" si="10"/>
        <v>0.90476190476190477</v>
      </c>
      <c r="R32" s="32">
        <f t="shared" si="10"/>
        <v>0.80952380952380953</v>
      </c>
      <c r="S32" s="32">
        <f t="shared" si="10"/>
        <v>0.2857142857142857</v>
      </c>
      <c r="T32" s="32">
        <f t="shared" si="10"/>
        <v>0.80952380952380953</v>
      </c>
      <c r="U32" s="32">
        <f t="shared" si="10"/>
        <v>0</v>
      </c>
      <c r="V32" s="32">
        <f t="shared" si="10"/>
        <v>4.7619047619047616E-2</v>
      </c>
      <c r="W32" s="32">
        <f t="shared" si="10"/>
        <v>9.5238095238095233E-2</v>
      </c>
      <c r="X32" s="32">
        <f t="shared" si="10"/>
        <v>0.90476190476190477</v>
      </c>
      <c r="Y32" s="32">
        <f t="shared" si="10"/>
        <v>0</v>
      </c>
      <c r="Z32" s="32">
        <f t="shared" si="10"/>
        <v>0</v>
      </c>
      <c r="AA32" s="32">
        <f t="shared" si="10"/>
        <v>0.80952380952380953</v>
      </c>
      <c r="AB32" s="32">
        <f t="shared" si="10"/>
        <v>0</v>
      </c>
      <c r="AC32" s="32">
        <f>COUNTIF(AC$3:AC$23,"A005")/21</f>
        <v>9.5238095238095233E-2</v>
      </c>
      <c r="AD32" s="32">
        <f t="shared" ref="AD32:AP32" si="11">COUNTIF(AD$3:AD$23,"A005")/21</f>
        <v>9.5238095238095233E-2</v>
      </c>
      <c r="AE32" s="32">
        <f t="shared" si="11"/>
        <v>9.5238095238095233E-2</v>
      </c>
      <c r="AF32" s="32">
        <f t="shared" si="11"/>
        <v>4.7619047619047616E-2</v>
      </c>
      <c r="AG32" s="32">
        <f t="shared" si="11"/>
        <v>0</v>
      </c>
      <c r="AH32" s="32">
        <f t="shared" si="11"/>
        <v>0.23809523809523808</v>
      </c>
      <c r="AI32" s="32">
        <f t="shared" si="11"/>
        <v>9.5238095238095233E-2</v>
      </c>
      <c r="AJ32" s="32">
        <f t="shared" si="11"/>
        <v>9.5238095238095233E-2</v>
      </c>
      <c r="AK32" s="32">
        <f t="shared" si="11"/>
        <v>4.7619047619047616E-2</v>
      </c>
      <c r="AL32" s="32">
        <f t="shared" si="11"/>
        <v>0</v>
      </c>
      <c r="AM32" s="32">
        <f t="shared" si="11"/>
        <v>0.19047619047619047</v>
      </c>
      <c r="AN32" s="32">
        <f t="shared" si="11"/>
        <v>4.7619047619047616E-2</v>
      </c>
      <c r="AO32" s="32">
        <f t="shared" si="11"/>
        <v>0.23809523809523808</v>
      </c>
      <c r="AP32" s="32">
        <f t="shared" si="11"/>
        <v>4.7619047619047616E-2</v>
      </c>
    </row>
    <row r="33" spans="1:42" x14ac:dyDescent="0.25">
      <c r="A33" t="s">
        <v>22</v>
      </c>
      <c r="AC33" s="32">
        <f>COUNTIF(AC$3:AC$23,"A006")/21</f>
        <v>0.23809523809523808</v>
      </c>
      <c r="AD33" s="32">
        <f t="shared" ref="AD33:AP33" si="12">COUNTIF(AD$3:AD$23,"A006")/21</f>
        <v>9.5238095238095233E-2</v>
      </c>
      <c r="AE33" s="32">
        <f t="shared" si="12"/>
        <v>0.19047619047619047</v>
      </c>
      <c r="AF33" s="32">
        <f t="shared" si="12"/>
        <v>9.5238095238095233E-2</v>
      </c>
      <c r="AG33" s="32">
        <f t="shared" si="12"/>
        <v>0</v>
      </c>
      <c r="AH33" s="32">
        <f t="shared" si="12"/>
        <v>0.19047619047619047</v>
      </c>
      <c r="AI33" s="32">
        <f t="shared" si="12"/>
        <v>0</v>
      </c>
      <c r="AJ33" s="32">
        <f t="shared" si="12"/>
        <v>0.14285714285714285</v>
      </c>
      <c r="AK33" s="32">
        <f t="shared" si="12"/>
        <v>9.5238095238095233E-2</v>
      </c>
      <c r="AL33" s="32">
        <f t="shared" si="12"/>
        <v>0</v>
      </c>
      <c r="AM33" s="32">
        <f t="shared" si="12"/>
        <v>0.14285714285714285</v>
      </c>
      <c r="AN33" s="32">
        <f t="shared" si="12"/>
        <v>4.7619047619047616E-2</v>
      </c>
      <c r="AO33" s="32">
        <f t="shared" si="12"/>
        <v>0.23809523809523808</v>
      </c>
      <c r="AP33" s="32">
        <f t="shared" si="12"/>
        <v>4.7619047619047616E-2</v>
      </c>
    </row>
    <row r="34" spans="1:42" x14ac:dyDescent="0.25">
      <c r="A34" t="s">
        <v>28</v>
      </c>
      <c r="AC34" s="32">
        <f>COUNTIF(AC$3:AC$23,"A007")/21</f>
        <v>0.38095238095238093</v>
      </c>
      <c r="AD34" s="32">
        <f t="shared" ref="AD34:AP34" si="13">COUNTIF(AD$3:AD$23,"A007")/21</f>
        <v>0.42857142857142855</v>
      </c>
      <c r="AE34" s="32">
        <f t="shared" si="13"/>
        <v>9.5238095238095233E-2</v>
      </c>
      <c r="AF34" s="32">
        <f t="shared" si="13"/>
        <v>0.61904761904761907</v>
      </c>
      <c r="AG34" s="32">
        <f t="shared" si="13"/>
        <v>0</v>
      </c>
      <c r="AH34" s="32">
        <f t="shared" si="13"/>
        <v>0.47619047619047616</v>
      </c>
      <c r="AI34" s="32">
        <f t="shared" si="13"/>
        <v>0</v>
      </c>
      <c r="AJ34" s="32">
        <f t="shared" si="13"/>
        <v>0.2857142857142857</v>
      </c>
      <c r="AK34" s="32">
        <f t="shared" si="13"/>
        <v>0.61904761904761907</v>
      </c>
      <c r="AL34" s="32">
        <f t="shared" si="13"/>
        <v>0</v>
      </c>
      <c r="AM34" s="32">
        <f t="shared" si="13"/>
        <v>0.66666666666666663</v>
      </c>
      <c r="AN34" s="32">
        <f t="shared" si="13"/>
        <v>4.7619047619047616E-2</v>
      </c>
      <c r="AO34" s="32">
        <f t="shared" si="13"/>
        <v>0.33333333333333331</v>
      </c>
      <c r="AP34" s="32">
        <f t="shared" si="13"/>
        <v>0.5714285714285714</v>
      </c>
    </row>
  </sheetData>
  <phoneticPr fontId="18"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7C5D-0B60-48EE-882A-F6F936CBC5DC}">
  <dimension ref="A1"/>
  <sheetViews>
    <sheetView workbookViewId="0">
      <selection activeCell="B3" sqref="B3"/>
    </sheetView>
  </sheetViews>
  <sheetFormatPr baseColWidth="10" defaultRowHeight="15" x14ac:dyDescent="0.25"/>
  <sheetData/>
  <pageMargins left="0.7" right="0.7" top="0.78740157499999996" bottom="0.78740157499999996" header="0.3" footer="0.3"/>
</worksheet>
</file>

<file path=docMetadata/LabelInfo.xml><?xml version="1.0" encoding="utf-8"?>
<clbl:labelList xmlns:clbl="http://schemas.microsoft.com/office/2020/mipLabelMetadata">
  <clbl:label id="{defa4170-0d19-0005-0004-bc88714345d2}" enabled="1" method="Standard" siteId="{4f455e02-c0f5-4dd7-8284-c56491661975}"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Tabelle2</vt:lpstr>
      <vt:lpstr>Auswertung_Umfrage_V2</vt:lpstr>
      <vt:lpstr>Tabelle3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Enis Inep</dc:creator>
  <cp:lastModifiedBy>Inep, Enis</cp:lastModifiedBy>
  <dcterms:created xsi:type="dcterms:W3CDTF">2025-12-20T17:19:15Z</dcterms:created>
  <dcterms:modified xsi:type="dcterms:W3CDTF">2025-12-21T11:23:06Z</dcterms:modified>
</cp:coreProperties>
</file>